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am\Downloads\"/>
    </mc:Choice>
  </mc:AlternateContent>
  <xr:revisionPtr revIDLastSave="0" documentId="13_ncr:1_{FA530A2D-C3D7-41A4-A0C8-74F0E05FDC80}" xr6:coauthVersionLast="47" xr6:coauthVersionMax="47" xr10:uidLastSave="{00000000-0000-0000-0000-000000000000}"/>
  <bookViews>
    <workbookView xWindow="-108" yWindow="-108" windowWidth="23256" windowHeight="13896" tabRatio="500" xr2:uid="{00000000-000D-0000-FFFF-FFFF00000000}"/>
  </bookViews>
  <sheets>
    <sheet name="Introduction" sheetId="1" r:id="rId1"/>
    <sheet name="Client_Data" sheetId="2" r:id="rId2"/>
    <sheet name="KYC" sheetId="3" r:id="rId3"/>
    <sheet name="Transactions" sheetId="4" r:id="rId4"/>
  </sheets>
  <definedNames>
    <definedName name="_xlnm._FilterDatabase" localSheetId="1" hidden="1">Client_Data!$A$1:$F$16</definedName>
    <definedName name="_xlnm._FilterDatabase" localSheetId="2" hidden="1">KYC!$A$1:$H$16</definedName>
    <definedName name="_xlnm._FilterDatabase" localSheetId="3" hidden="1">Transactions!$A$1:$J$40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40" i="4" l="1"/>
  <c r="H40" i="4"/>
  <c r="G40" i="4"/>
  <c r="J40" i="4" s="1"/>
  <c r="I39" i="4"/>
  <c r="H39" i="4"/>
  <c r="G39" i="4"/>
  <c r="J39" i="4" s="1"/>
  <c r="I38" i="4"/>
  <c r="H38" i="4"/>
  <c r="G38" i="4"/>
  <c r="J38" i="4" s="1"/>
  <c r="I37" i="4"/>
  <c r="H37" i="4"/>
  <c r="G37" i="4"/>
  <c r="J37" i="4" s="1"/>
  <c r="I36" i="4"/>
  <c r="H36" i="4"/>
  <c r="G36" i="4"/>
  <c r="J36" i="4" s="1"/>
  <c r="I35" i="4"/>
  <c r="H35" i="4"/>
  <c r="G35" i="4"/>
  <c r="J35" i="4" s="1"/>
  <c r="I34" i="4"/>
  <c r="H34" i="4"/>
  <c r="G34" i="4"/>
  <c r="J34" i="4" s="1"/>
  <c r="I33" i="4"/>
  <c r="H33" i="4"/>
  <c r="G33" i="4"/>
  <c r="J33" i="4" s="1"/>
  <c r="I32" i="4"/>
  <c r="H32" i="4"/>
  <c r="G32" i="4"/>
  <c r="J32" i="4" s="1"/>
  <c r="I31" i="4"/>
  <c r="H31" i="4"/>
  <c r="G31" i="4"/>
  <c r="J31" i="4" s="1"/>
  <c r="I30" i="4"/>
  <c r="H30" i="4"/>
  <c r="G30" i="4"/>
  <c r="J30" i="4" s="1"/>
  <c r="I29" i="4"/>
  <c r="H29" i="4"/>
  <c r="G29" i="4"/>
  <c r="J29" i="4" s="1"/>
  <c r="I28" i="4"/>
  <c r="H28" i="4"/>
  <c r="G28" i="4"/>
  <c r="I27" i="4"/>
  <c r="H27" i="4"/>
  <c r="G27" i="4"/>
  <c r="J27" i="4" s="1"/>
  <c r="I26" i="4"/>
  <c r="H26" i="4"/>
  <c r="G26" i="4"/>
  <c r="I25" i="4"/>
  <c r="H25" i="4"/>
  <c r="G25" i="4"/>
  <c r="J25" i="4" s="1"/>
  <c r="I24" i="4"/>
  <c r="H24" i="4"/>
  <c r="G24" i="4"/>
  <c r="J24" i="4" s="1"/>
  <c r="I23" i="4"/>
  <c r="H23" i="4"/>
  <c r="G23" i="4"/>
  <c r="I22" i="4"/>
  <c r="H22" i="4"/>
  <c r="G22" i="4"/>
  <c r="J22" i="4" s="1"/>
  <c r="I21" i="4"/>
  <c r="H21" i="4"/>
  <c r="G21" i="4"/>
  <c r="I20" i="4"/>
  <c r="H20" i="4"/>
  <c r="G20" i="4"/>
  <c r="J20" i="4" s="1"/>
  <c r="I19" i="4"/>
  <c r="H19" i="4"/>
  <c r="G19" i="4"/>
  <c r="J19" i="4" s="1"/>
  <c r="I18" i="4"/>
  <c r="H18" i="4"/>
  <c r="G18" i="4"/>
  <c r="J18" i="4" s="1"/>
  <c r="I17" i="4"/>
  <c r="H17" i="4"/>
  <c r="G17" i="4"/>
  <c r="I16" i="4"/>
  <c r="H16" i="4"/>
  <c r="G16" i="4"/>
  <c r="I15" i="4"/>
  <c r="J15" i="4" s="1"/>
  <c r="H15" i="4"/>
  <c r="G15" i="4"/>
  <c r="I14" i="4"/>
  <c r="H14" i="4"/>
  <c r="G14" i="4"/>
  <c r="J14" i="4" s="1"/>
  <c r="I13" i="4"/>
  <c r="H13" i="4"/>
  <c r="G13" i="4"/>
  <c r="J13" i="4" s="1"/>
  <c r="I12" i="4"/>
  <c r="H12" i="4"/>
  <c r="J12" i="4" s="1"/>
  <c r="G12" i="4"/>
  <c r="I11" i="4"/>
  <c r="H11" i="4"/>
  <c r="G11" i="4"/>
  <c r="J11" i="4" s="1"/>
  <c r="I10" i="4"/>
  <c r="H10" i="4"/>
  <c r="G10" i="4"/>
  <c r="J10" i="4" s="1"/>
  <c r="I9" i="4"/>
  <c r="H9" i="4"/>
  <c r="G9" i="4"/>
  <c r="J9" i="4" s="1"/>
  <c r="I8" i="4"/>
  <c r="H8" i="4"/>
  <c r="G8" i="4"/>
  <c r="J8" i="4" s="1"/>
  <c r="I7" i="4"/>
  <c r="H7" i="4"/>
  <c r="G7" i="4"/>
  <c r="J7" i="4" s="1"/>
  <c r="I6" i="4"/>
  <c r="H6" i="4"/>
  <c r="G6" i="4"/>
  <c r="J6" i="4" s="1"/>
  <c r="I5" i="4"/>
  <c r="H5" i="4"/>
  <c r="G5" i="4"/>
  <c r="J5" i="4" s="1"/>
  <c r="I4" i="4"/>
  <c r="H4" i="4"/>
  <c r="G4" i="4"/>
  <c r="J4" i="4" s="1"/>
  <c r="I3" i="4"/>
  <c r="H3" i="4"/>
  <c r="G3" i="4"/>
  <c r="J3" i="4" s="1"/>
  <c r="I2" i="4"/>
  <c r="H2" i="4"/>
  <c r="G2" i="4"/>
  <c r="G16" i="3"/>
  <c r="F16" i="3"/>
  <c r="H16" i="3" s="1"/>
  <c r="B16" i="3"/>
  <c r="G15" i="3"/>
  <c r="F15" i="3"/>
  <c r="H15" i="3" s="1"/>
  <c r="B15" i="3"/>
  <c r="G14" i="3"/>
  <c r="F14" i="3"/>
  <c r="H14" i="3" s="1"/>
  <c r="B14" i="3"/>
  <c r="G13" i="3"/>
  <c r="F13" i="3"/>
  <c r="H13" i="3" s="1"/>
  <c r="B13" i="3"/>
  <c r="G12" i="3"/>
  <c r="F12" i="3"/>
  <c r="H12" i="3" s="1"/>
  <c r="B12" i="3"/>
  <c r="G11" i="3"/>
  <c r="F11" i="3"/>
  <c r="H11" i="3" s="1"/>
  <c r="B11" i="3"/>
  <c r="G10" i="3"/>
  <c r="F10" i="3"/>
  <c r="H10" i="3" s="1"/>
  <c r="B10" i="3"/>
  <c r="G9" i="3"/>
  <c r="F9" i="3"/>
  <c r="H9" i="3" s="1"/>
  <c r="B9" i="3"/>
  <c r="G8" i="3"/>
  <c r="F8" i="3"/>
  <c r="H8" i="3" s="1"/>
  <c r="B8" i="3"/>
  <c r="G7" i="3"/>
  <c r="F7" i="3"/>
  <c r="B7" i="3"/>
  <c r="G6" i="3"/>
  <c r="F6" i="3"/>
  <c r="H6" i="3" s="1"/>
  <c r="B6" i="3"/>
  <c r="G5" i="3"/>
  <c r="F5" i="3"/>
  <c r="H5" i="3" s="1"/>
  <c r="B5" i="3"/>
  <c r="G4" i="3"/>
  <c r="F4" i="3"/>
  <c r="H4" i="3" s="1"/>
  <c r="B4" i="3"/>
  <c r="G3" i="3"/>
  <c r="F3" i="3"/>
  <c r="H3" i="3" s="1"/>
  <c r="B3" i="3"/>
  <c r="G2" i="3"/>
  <c r="F2" i="3"/>
  <c r="H2" i="3" s="1"/>
  <c r="B2" i="3"/>
  <c r="F16" i="2"/>
  <c r="F15" i="2"/>
  <c r="F14" i="2"/>
  <c r="F13" i="2"/>
  <c r="F12" i="2"/>
  <c r="F11" i="2"/>
  <c r="F10" i="2"/>
  <c r="F9" i="2"/>
  <c r="F8" i="2"/>
  <c r="F7" i="2"/>
  <c r="F6" i="2"/>
  <c r="F5" i="2"/>
  <c r="F4" i="2"/>
  <c r="F3" i="2"/>
  <c r="F2" i="2"/>
  <c r="J2" i="4" l="1"/>
  <c r="J28" i="4"/>
  <c r="J26" i="4"/>
  <c r="J23" i="4"/>
  <c r="J21" i="4"/>
  <c r="J17" i="4"/>
  <c r="J16" i="4"/>
  <c r="H7" i="3"/>
</calcChain>
</file>

<file path=xl/sharedStrings.xml><?xml version="1.0" encoding="utf-8"?>
<sst xmlns="http://schemas.openxmlformats.org/spreadsheetml/2006/main" count="329" uniqueCount="171">
  <si>
    <t>KYC / AML Client Review - Self-Study Project (Beginner)</t>
  </si>
  <si>
    <t>Practice project for a Client Data Analyst (Operations) role. All data is synthetic.</t>
  </si>
  <si>
    <t>1. Objective</t>
  </si>
  <si>
    <t>Learn the basic workflow of a KYC / AML review in Excel: (a) check whether each client's KYC file is complete and up to date, (b) rate each client's risk, and (c) screen transactions for simple AML red flags so you can say which clients need a closer look.</t>
  </si>
  <si>
    <t>2. Necessary details</t>
  </si>
  <si>
    <t>Scenario</t>
  </si>
  <si>
    <t>Client_Data sheet</t>
  </si>
  <si>
    <t>Who the client is: ID, name, occupation, country, declared monthly income, and the risk rating (formula).</t>
  </si>
  <si>
    <t>KYC sheet</t>
  </si>
  <si>
    <t>What documents are on file: ID expiry date, address proof date, source of funds, plus status formulas.</t>
  </si>
  <si>
    <t>Transactions sheet</t>
  </si>
  <si>
    <t>What the client did: date, type, amount, counterparty country, plus red-flag formulas and an alert.</t>
  </si>
  <si>
    <t>Link between sheets</t>
  </si>
  <si>
    <t>Client ID is the common key. KYC and Transactions look up the client name from Client_Data.</t>
  </si>
  <si>
    <t>Colour code</t>
  </si>
  <si>
    <t>Blue text = a parameter you can change.  Yellow cells = your own notes.  Red / amber / green = automatic status colours.</t>
  </si>
  <si>
    <t>3. Parameters used (the basis of the analysis)</t>
  </si>
  <si>
    <t>Parameter</t>
  </si>
  <si>
    <t>Value</t>
  </si>
  <si>
    <t>Used for</t>
  </si>
  <si>
    <t>Review (as-of) date</t>
  </si>
  <si>
    <t>Compared with ID expiry date and address proof date.</t>
  </si>
  <si>
    <t>Address proof valid for (days)</t>
  </si>
  <si>
    <t>Address proof older than this is marked 'Old'.</t>
  </si>
  <si>
    <t>High-value threshold (INR)</t>
  </si>
  <si>
    <t>Transactions at or above this are 'High Value'.</t>
  </si>
  <si>
    <t>Near-threshold band (% of threshold)</t>
  </si>
  <si>
    <t>Amounts from this % up to the threshold look like structuring.</t>
  </si>
  <si>
    <t>High-risk countries</t>
  </si>
  <si>
    <t>Higher-risk occupations</t>
  </si>
  <si>
    <t>Why</t>
  </si>
  <si>
    <t>Iran</t>
  </si>
  <si>
    <t>Small Business Owner</t>
  </si>
  <si>
    <t>Country list is illustrative; real work uses the current FATF lists.</t>
  </si>
  <si>
    <t>Myanmar</t>
  </si>
  <si>
    <t>Real Estate Dealer</t>
  </si>
  <si>
    <t>Cash-heavy or high-value trades carry more laundering risk.</t>
  </si>
  <si>
    <t>North Korea</t>
  </si>
  <si>
    <t>Jeweller</t>
  </si>
  <si>
    <t>Import/Export Trader</t>
  </si>
  <si>
    <t>4. Rules applied (how each result is decided)</t>
  </si>
  <si>
    <t>ID Status (KYC)</t>
  </si>
  <si>
    <t>Missing if no expiry date; Expired if expiry date is before the review date; otherwise Valid.</t>
  </si>
  <si>
    <t>Address Proof Status (KYC)</t>
  </si>
  <si>
    <t>Missing if blank; Old if older than the validity days; otherwise Valid.</t>
  </si>
  <si>
    <t>KYC Status</t>
  </si>
  <si>
    <t>Complete only if ID is Valid, address proof is Valid and a source of funds is given. Otherwise Action Required.</t>
  </si>
  <si>
    <t>Risk Rating (Client_Data)</t>
  </si>
  <si>
    <t>High if the country is on the high-risk list; Medium if the occupation is on the higher-risk list; otherwise Low.</t>
  </si>
  <si>
    <t>High Value? (Transactions)</t>
  </si>
  <si>
    <t>Yes if the amount is at or above the high-value threshold.</t>
  </si>
  <si>
    <t>Near Threshold?</t>
  </si>
  <si>
    <t>Yes if the amount is within the band just below the threshold (possible structuring - splitting deposits to stay under it).</t>
  </si>
  <si>
    <t>High-Risk Country?</t>
  </si>
  <si>
    <t>Yes if the counterparty country is on the high-risk list.</t>
  </si>
  <si>
    <t>Alert</t>
  </si>
  <si>
    <t>Review if any of the three flags is Yes; otherwise OK.</t>
  </si>
  <si>
    <t>Excel functions used</t>
  </si>
  <si>
    <t>IF, AND, COUNTIF, INDEX / MATCH only.</t>
  </si>
  <si>
    <t>Risk Rating</t>
  </si>
  <si>
    <t>Client ID</t>
  </si>
  <si>
    <t>Client Name</t>
  </si>
  <si>
    <t>Occupation</t>
  </si>
  <si>
    <t>Country</t>
  </si>
  <si>
    <t>Monthly Income (INR)</t>
  </si>
  <si>
    <t>C001</t>
  </si>
  <si>
    <t>Aarav Mehta</t>
  </si>
  <si>
    <t>Salaried Employee</t>
  </si>
  <si>
    <t>India</t>
  </si>
  <si>
    <t>C002</t>
  </si>
  <si>
    <t>Priya Nair</t>
  </si>
  <si>
    <t>C003</t>
  </si>
  <si>
    <t>Rohan Deshpande</t>
  </si>
  <si>
    <t>Self-Employed Professional</t>
  </si>
  <si>
    <t>C004</t>
  </si>
  <si>
    <t>Sneha Kulkarni</t>
  </si>
  <si>
    <t>Student</t>
  </si>
  <si>
    <t>C005</t>
  </si>
  <si>
    <t>Vikram Singh</t>
  </si>
  <si>
    <t>C006</t>
  </si>
  <si>
    <t>Ananya Iyer</t>
  </si>
  <si>
    <t>Singapore</t>
  </si>
  <si>
    <t>C007</t>
  </si>
  <si>
    <t>Karan Malhotra</t>
  </si>
  <si>
    <t>C008</t>
  </si>
  <si>
    <t>Fatima Sheikh</t>
  </si>
  <si>
    <t>Homemaker</t>
  </si>
  <si>
    <t>C009</t>
  </si>
  <si>
    <t>Rajesh Gupta</t>
  </si>
  <si>
    <t>C010</t>
  </si>
  <si>
    <t>Meera Joshi</t>
  </si>
  <si>
    <t>Retired</t>
  </si>
  <si>
    <t>C011</t>
  </si>
  <si>
    <t>Arjun Reddy</t>
  </si>
  <si>
    <t>UAE</t>
  </si>
  <si>
    <t>C012</t>
  </si>
  <si>
    <t>Sunita Bansal</t>
  </si>
  <si>
    <t>C013</t>
  </si>
  <si>
    <t>Mohan Das</t>
  </si>
  <si>
    <t>C014</t>
  </si>
  <si>
    <t>Dev Chopra</t>
  </si>
  <si>
    <t>C015</t>
  </si>
  <si>
    <t>Shreya Pandey</t>
  </si>
  <si>
    <t>ID Expiry Date</t>
  </si>
  <si>
    <t>Address Proof Date</t>
  </si>
  <si>
    <t>Source of Funds</t>
  </si>
  <si>
    <t>ID Status</t>
  </si>
  <si>
    <t>Address Proof Status</t>
  </si>
  <si>
    <t>Salary</t>
  </si>
  <si>
    <t>Consulting fees</t>
  </si>
  <si>
    <t>Parental support</t>
  </si>
  <si>
    <t>Retail shop income</t>
  </si>
  <si>
    <t>Property commissions</t>
  </si>
  <si>
    <t>Spouse income</t>
  </si>
  <si>
    <t>Jewellery sales</t>
  </si>
  <si>
    <t>Pension</t>
  </si>
  <si>
    <t>Trading proceeds</t>
  </si>
  <si>
    <t>Restaurant income</t>
  </si>
  <si>
    <t>Txn ID</t>
  </si>
  <si>
    <t>Date</t>
  </si>
  <si>
    <t>Txn Type</t>
  </si>
  <si>
    <t>Amount (INR)</t>
  </si>
  <si>
    <t>Counterparty Country</t>
  </si>
  <si>
    <t>High Value?</t>
  </si>
  <si>
    <t>T001</t>
  </si>
  <si>
    <t>Salary Credit</t>
  </si>
  <si>
    <t>T002</t>
  </si>
  <si>
    <t>Pension Credit</t>
  </si>
  <si>
    <t>T003</t>
  </si>
  <si>
    <t>T004</t>
  </si>
  <si>
    <t>T005</t>
  </si>
  <si>
    <t>T006</t>
  </si>
  <si>
    <t>Bank Transfer In</t>
  </si>
  <si>
    <t>T007</t>
  </si>
  <si>
    <t>Cash Deposit</t>
  </si>
  <si>
    <t>T008</t>
  </si>
  <si>
    <t>T009</t>
  </si>
  <si>
    <t>Wire In</t>
  </si>
  <si>
    <t>T010</t>
  </si>
  <si>
    <t>T011</t>
  </si>
  <si>
    <t>T012</t>
  </si>
  <si>
    <t>T013</t>
  </si>
  <si>
    <t>T014</t>
  </si>
  <si>
    <t>T015</t>
  </si>
  <si>
    <t>T016</t>
  </si>
  <si>
    <t>T017</t>
  </si>
  <si>
    <t>T018</t>
  </si>
  <si>
    <t>T019</t>
  </si>
  <si>
    <t>T020</t>
  </si>
  <si>
    <t>T021</t>
  </si>
  <si>
    <t>T022</t>
  </si>
  <si>
    <t>T023</t>
  </si>
  <si>
    <t>T024</t>
  </si>
  <si>
    <t>T025</t>
  </si>
  <si>
    <t>T026</t>
  </si>
  <si>
    <t>T027</t>
  </si>
  <si>
    <t>T028</t>
  </si>
  <si>
    <t>T029</t>
  </si>
  <si>
    <t>USA</t>
  </si>
  <si>
    <t>T030</t>
  </si>
  <si>
    <t>T031</t>
  </si>
  <si>
    <t>T032</t>
  </si>
  <si>
    <t>T033</t>
  </si>
  <si>
    <t>T034</t>
  </si>
  <si>
    <t>T035</t>
  </si>
  <si>
    <t>T036</t>
  </si>
  <si>
    <t>T037</t>
  </si>
  <si>
    <t>T038</t>
  </si>
  <si>
    <t>Cyprus</t>
  </si>
  <si>
    <t>T039</t>
  </si>
  <si>
    <t>15 clients were onboarded and you have 3 months of their transactions (Jul-Sep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</si>
</sst>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8" x14ac:knownFonts="1">
    <font>
      <sz val="11"/>
      <color theme="1"/>
      <name val="Calibri"/>
      <family val="2"/>
      <charset val="1"/>
    </font>
    <font>
      <b/>
      <sz val="16"/>
      <color rgb="FF1F3864"/>
      <name val="Arial"/>
      <charset val="1"/>
    </font>
    <font>
      <i/>
      <sz val="10"/>
      <color rgb="FF595959"/>
      <name val="Arial"/>
      <charset val="1"/>
    </font>
    <font>
      <b/>
      <sz val="11"/>
      <color rgb="FF1F3864"/>
      <name val="Arial"/>
      <charset val="1"/>
    </font>
    <font>
      <sz val="10"/>
      <name val="Arial"/>
      <charset val="1"/>
    </font>
    <font>
      <b/>
      <sz val="10"/>
      <name val="Arial"/>
      <charset val="1"/>
    </font>
    <font>
      <b/>
      <sz val="10"/>
      <color rgb="FFFFFFFF"/>
      <name val="Arial"/>
      <charset val="1"/>
    </font>
    <font>
      <sz val="10"/>
      <color rgb="FF0000FF"/>
      <name val="Arial"/>
      <charset val="1"/>
    </font>
  </fonts>
  <fills count="4">
    <fill>
      <patternFill patternType="none"/>
    </fill>
    <fill>
      <patternFill patternType="gray125"/>
    </fill>
    <fill>
      <patternFill patternType="solid">
        <fgColor rgb="FFD9E2F3"/>
        <bgColor rgb="FFC6EFCE"/>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4" fillId="0" borderId="0" xfId="0" applyFont="1" applyAlignment="1">
      <alignment vertical="top" wrapText="1"/>
    </xf>
    <xf numFmtId="0" fontId="1" fillId="0" borderId="0" xfId="0" applyFont="1"/>
    <xf numFmtId="0" fontId="2" fillId="0" borderId="0" xfId="0" applyFont="1"/>
    <xf numFmtId="0" fontId="3" fillId="2" borderId="0" xfId="0" applyFont="1" applyFill="1"/>
    <xf numFmtId="0" fontId="0" fillId="2" borderId="0" xfId="0" applyFill="1"/>
    <xf numFmtId="0" fontId="5" fillId="0" borderId="0" xfId="0" applyFont="1" applyAlignment="1">
      <alignment vertical="top" wrapText="1"/>
    </xf>
    <xf numFmtId="0" fontId="6" fillId="3" borderId="1" xfId="0" applyFont="1" applyFill="1" applyBorder="1" applyAlignment="1">
      <alignment horizontal="center" vertical="center" wrapText="1"/>
    </xf>
    <xf numFmtId="0" fontId="4" fillId="0" borderId="1" xfId="0" applyFont="1" applyBorder="1"/>
    <xf numFmtId="164" fontId="7" fillId="0" borderId="1" xfId="0" applyNumberFormat="1" applyFont="1" applyBorder="1" applyAlignment="1">
      <alignment horizontal="left"/>
    </xf>
    <xf numFmtId="0" fontId="2" fillId="0" borderId="1" xfId="0" applyFont="1" applyBorder="1"/>
    <xf numFmtId="1" fontId="7" fillId="0" borderId="1" xfId="0" applyNumberFormat="1" applyFont="1" applyBorder="1" applyAlignment="1">
      <alignment horizontal="left"/>
    </xf>
    <xf numFmtId="3" fontId="7" fillId="0" borderId="1" xfId="0" applyNumberFormat="1" applyFont="1" applyBorder="1" applyAlignment="1">
      <alignment horizontal="left"/>
    </xf>
    <xf numFmtId="9" fontId="7" fillId="0" borderId="1" xfId="0" applyNumberFormat="1" applyFont="1" applyBorder="1" applyAlignment="1">
      <alignment horizontal="left"/>
    </xf>
    <xf numFmtId="0" fontId="7" fillId="0" borderId="1" xfId="0" applyFont="1" applyBorder="1"/>
    <xf numFmtId="0" fontId="0" fillId="0" borderId="1" xfId="0" applyBorder="1"/>
    <xf numFmtId="3" fontId="4" fillId="0" borderId="1" xfId="0" applyNumberFormat="1" applyFont="1" applyBorder="1"/>
    <xf numFmtId="164" fontId="4" fillId="0" borderId="1" xfId="0" applyNumberFormat="1" applyFont="1" applyBorder="1"/>
    <xf numFmtId="0" fontId="3" fillId="0" borderId="0" xfId="0" applyFont="1" applyFill="1"/>
    <xf numFmtId="0" fontId="0" fillId="0" borderId="0" xfId="0" applyFill="1"/>
    <xf numFmtId="0" fontId="5" fillId="0" borderId="0" xfId="0" applyFont="1" applyFill="1" applyAlignment="1">
      <alignment vertical="top" wrapText="1"/>
    </xf>
    <xf numFmtId="0" fontId="4" fillId="0" borderId="0" xfId="0" applyFont="1" applyFill="1" applyAlignment="1">
      <alignment vertical="top" wrapText="1"/>
    </xf>
  </cellXfs>
  <cellStyles count="1">
    <cellStyle name="Normal" xfId="0" builtinId="0"/>
  </cellStyles>
  <dxfs count="12">
    <dxf>
      <fill>
        <patternFill>
          <bgColor rgb="FFC6EFCE"/>
        </patternFill>
      </fill>
    </dxf>
    <dxf>
      <fill>
        <patternFill>
          <bgColor rgb="FFFFE699"/>
        </patternFill>
      </fill>
    </dxf>
    <dxf>
      <fill>
        <patternFill>
          <bgColor rgb="FFF8CBAD"/>
        </patternFill>
      </fill>
    </dxf>
    <dxf>
      <fill>
        <patternFill>
          <bgColor rgb="FFFFE699"/>
        </patternFill>
      </fill>
    </dxf>
    <dxf>
      <fill>
        <patternFill>
          <bgColor rgb="FFC6EFCE"/>
        </patternFill>
      </fill>
    </dxf>
    <dxf>
      <fill>
        <patternFill>
          <bgColor rgb="FFFFE699"/>
        </patternFill>
      </fill>
    </dxf>
    <dxf>
      <fill>
        <patternFill>
          <bgColor rgb="FFF8CBAD"/>
        </patternFill>
      </fill>
    </dxf>
    <dxf>
      <fill>
        <patternFill>
          <bgColor rgb="FFC6EFCE"/>
        </patternFill>
      </fill>
    </dxf>
    <dxf>
      <fill>
        <patternFill>
          <bgColor rgb="FFF8CBAD"/>
        </patternFill>
      </fill>
    </dxf>
    <dxf>
      <fill>
        <patternFill>
          <bgColor rgb="FFC6EFCE"/>
        </patternFill>
      </fill>
    </dxf>
    <dxf>
      <fill>
        <patternFill>
          <bgColor rgb="FFFFE699"/>
        </patternFill>
      </fill>
    </dxf>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E699"/>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4"/>
  <sheetViews>
    <sheetView showGridLines="0" tabSelected="1" zoomScaleNormal="100" workbookViewId="0">
      <selection activeCell="F8" sqref="F8"/>
    </sheetView>
  </sheetViews>
  <sheetFormatPr defaultColWidth="8.6640625" defaultRowHeight="14.4" x14ac:dyDescent="0.3"/>
  <cols>
    <col min="1" max="1" width="34" customWidth="1"/>
    <col min="2" max="2" width="30" customWidth="1"/>
    <col min="3" max="3" width="62" customWidth="1"/>
  </cols>
  <sheetData>
    <row r="1" spans="1:3" ht="21" x14ac:dyDescent="0.4">
      <c r="A1" s="2" t="s">
        <v>0</v>
      </c>
    </row>
    <row r="2" spans="1:3" x14ac:dyDescent="0.3">
      <c r="A2" s="3" t="s">
        <v>1</v>
      </c>
    </row>
    <row r="4" spans="1:3" x14ac:dyDescent="0.3">
      <c r="A4" s="4" t="s">
        <v>2</v>
      </c>
      <c r="B4" s="5"/>
      <c r="C4" s="5"/>
    </row>
    <row r="5" spans="1:3" ht="45" customHeight="1" x14ac:dyDescent="0.3">
      <c r="A5" s="1" t="s">
        <v>3</v>
      </c>
      <c r="B5" s="1"/>
      <c r="C5" s="1"/>
    </row>
    <row r="7" spans="1:3" x14ac:dyDescent="0.3">
      <c r="A7" s="4" t="s">
        <v>4</v>
      </c>
      <c r="B7" s="5"/>
      <c r="C7" s="5"/>
    </row>
    <row r="8" spans="1:3" ht="30.75" customHeight="1" x14ac:dyDescent="0.3">
      <c r="A8" s="6" t="s">
        <v>5</v>
      </c>
      <c r="B8" s="1" t="s">
        <v>170</v>
      </c>
      <c r="C8" s="1"/>
    </row>
    <row r="9" spans="1:3" ht="30.75" customHeight="1" x14ac:dyDescent="0.3">
      <c r="A9" s="6" t="s">
        <v>6</v>
      </c>
      <c r="B9" s="1" t="s">
        <v>7</v>
      </c>
      <c r="C9" s="1"/>
    </row>
    <row r="10" spans="1:3" ht="30.75" customHeight="1" x14ac:dyDescent="0.3">
      <c r="A10" s="6" t="s">
        <v>8</v>
      </c>
      <c r="B10" s="1" t="s">
        <v>9</v>
      </c>
      <c r="C10" s="1"/>
    </row>
    <row r="11" spans="1:3" ht="30.75" customHeight="1" x14ac:dyDescent="0.3">
      <c r="A11" s="6" t="s">
        <v>10</v>
      </c>
      <c r="B11" s="1" t="s">
        <v>11</v>
      </c>
      <c r="C11" s="1"/>
    </row>
    <row r="12" spans="1:3" ht="30.75" customHeight="1" x14ac:dyDescent="0.3">
      <c r="A12" s="6" t="s">
        <v>12</v>
      </c>
      <c r="B12" s="1" t="s">
        <v>13</v>
      </c>
      <c r="C12" s="1"/>
    </row>
    <row r="13" spans="1:3" ht="30.75" customHeight="1" x14ac:dyDescent="0.3">
      <c r="A13" s="6" t="s">
        <v>14</v>
      </c>
      <c r="B13" s="1" t="s">
        <v>15</v>
      </c>
      <c r="C13" s="1"/>
    </row>
    <row r="15" spans="1:3" x14ac:dyDescent="0.3">
      <c r="A15" s="4" t="s">
        <v>16</v>
      </c>
      <c r="B15" s="5"/>
      <c r="C15" s="5"/>
    </row>
    <row r="16" spans="1:3" ht="31.5" customHeight="1" x14ac:dyDescent="0.3">
      <c r="A16" s="7" t="s">
        <v>17</v>
      </c>
      <c r="B16" s="7" t="s">
        <v>18</v>
      </c>
      <c r="C16" s="7" t="s">
        <v>19</v>
      </c>
    </row>
    <row r="17" spans="1:3" x14ac:dyDescent="0.3">
      <c r="A17" s="8" t="s">
        <v>20</v>
      </c>
      <c r="B17" s="9">
        <v>46299</v>
      </c>
      <c r="C17" s="10" t="s">
        <v>21</v>
      </c>
    </row>
    <row r="18" spans="1:3" x14ac:dyDescent="0.3">
      <c r="A18" s="8" t="s">
        <v>22</v>
      </c>
      <c r="B18" s="11">
        <v>90</v>
      </c>
      <c r="C18" s="10" t="s">
        <v>23</v>
      </c>
    </row>
    <row r="19" spans="1:3" x14ac:dyDescent="0.3">
      <c r="A19" s="8" t="s">
        <v>24</v>
      </c>
      <c r="B19" s="12">
        <v>1000000</v>
      </c>
      <c r="C19" s="10" t="s">
        <v>25</v>
      </c>
    </row>
    <row r="20" spans="1:3" x14ac:dyDescent="0.3">
      <c r="A20" s="8" t="s">
        <v>26</v>
      </c>
      <c r="B20" s="13">
        <v>0.9</v>
      </c>
      <c r="C20" s="10" t="s">
        <v>27</v>
      </c>
    </row>
    <row r="22" spans="1:3" ht="31.5" customHeight="1" x14ac:dyDescent="0.3">
      <c r="A22" s="7" t="s">
        <v>28</v>
      </c>
      <c r="B22" s="7" t="s">
        <v>29</v>
      </c>
      <c r="C22" s="7" t="s">
        <v>30</v>
      </c>
    </row>
    <row r="23" spans="1:3" x14ac:dyDescent="0.3">
      <c r="A23" s="14" t="s">
        <v>31</v>
      </c>
      <c r="B23" s="14" t="s">
        <v>32</v>
      </c>
      <c r="C23" s="10" t="s">
        <v>33</v>
      </c>
    </row>
    <row r="24" spans="1:3" x14ac:dyDescent="0.3">
      <c r="A24" s="14" t="s">
        <v>34</v>
      </c>
      <c r="B24" s="14" t="s">
        <v>35</v>
      </c>
      <c r="C24" s="10" t="s">
        <v>36</v>
      </c>
    </row>
    <row r="25" spans="1:3" x14ac:dyDescent="0.3">
      <c r="A25" s="14" t="s">
        <v>37</v>
      </c>
      <c r="B25" s="14" t="s">
        <v>38</v>
      </c>
      <c r="C25" s="10"/>
    </row>
    <row r="26" spans="1:3" x14ac:dyDescent="0.3">
      <c r="A26" s="15"/>
      <c r="B26" s="14" t="s">
        <v>39</v>
      </c>
      <c r="C26" s="10"/>
    </row>
    <row r="28" spans="1:3" x14ac:dyDescent="0.3">
      <c r="A28" s="4" t="s">
        <v>40</v>
      </c>
      <c r="B28" s="5"/>
      <c r="C28" s="5"/>
    </row>
    <row r="29" spans="1:3" ht="30.75" customHeight="1" x14ac:dyDescent="0.3">
      <c r="A29" s="6" t="s">
        <v>41</v>
      </c>
      <c r="B29" s="1" t="s">
        <v>42</v>
      </c>
      <c r="C29" s="1"/>
    </row>
    <row r="30" spans="1:3" ht="16.5" customHeight="1" x14ac:dyDescent="0.3">
      <c r="A30" s="6" t="s">
        <v>43</v>
      </c>
      <c r="B30" s="1" t="s">
        <v>44</v>
      </c>
      <c r="C30" s="1"/>
    </row>
    <row r="31" spans="1:3" ht="30.75" customHeight="1" x14ac:dyDescent="0.3">
      <c r="A31" s="6" t="s">
        <v>45</v>
      </c>
      <c r="B31" s="1" t="s">
        <v>46</v>
      </c>
      <c r="C31" s="1"/>
    </row>
    <row r="32" spans="1:3" ht="30.75" customHeight="1" x14ac:dyDescent="0.3">
      <c r="A32" s="6" t="s">
        <v>47</v>
      </c>
      <c r="B32" s="1" t="s">
        <v>48</v>
      </c>
      <c r="C32" s="1"/>
    </row>
    <row r="33" spans="1:3" ht="16.5" customHeight="1" x14ac:dyDescent="0.3">
      <c r="A33" s="6" t="s">
        <v>49</v>
      </c>
      <c r="B33" s="1" t="s">
        <v>50</v>
      </c>
      <c r="C33" s="1"/>
    </row>
    <row r="34" spans="1:3" ht="30.75" customHeight="1" x14ac:dyDescent="0.3">
      <c r="A34" s="6" t="s">
        <v>51</v>
      </c>
      <c r="B34" s="1" t="s">
        <v>52</v>
      </c>
      <c r="C34" s="1"/>
    </row>
    <row r="35" spans="1:3" ht="16.5" customHeight="1" x14ac:dyDescent="0.3">
      <c r="A35" s="6" t="s">
        <v>53</v>
      </c>
      <c r="B35" s="1" t="s">
        <v>54</v>
      </c>
      <c r="C35" s="1"/>
    </row>
    <row r="36" spans="1:3" ht="16.5" customHeight="1" x14ac:dyDescent="0.3">
      <c r="A36" s="6" t="s">
        <v>55</v>
      </c>
      <c r="B36" s="1" t="s">
        <v>56</v>
      </c>
      <c r="C36" s="1"/>
    </row>
    <row r="37" spans="1:3" ht="16.5" customHeight="1" x14ac:dyDescent="0.3">
      <c r="A37" s="6" t="s">
        <v>57</v>
      </c>
      <c r="B37" s="1" t="s">
        <v>58</v>
      </c>
      <c r="C37" s="1"/>
    </row>
    <row r="39" spans="1:3" x14ac:dyDescent="0.3">
      <c r="A39" s="18"/>
      <c r="B39" s="19"/>
      <c r="C39" s="19"/>
    </row>
    <row r="40" spans="1:3" ht="30.75" customHeight="1" x14ac:dyDescent="0.3">
      <c r="A40" s="6"/>
      <c r="B40" s="1"/>
      <c r="C40" s="1"/>
    </row>
    <row r="41" spans="1:3" ht="30.75" customHeight="1" x14ac:dyDescent="0.3">
      <c r="A41" s="6"/>
      <c r="B41" s="1"/>
      <c r="C41" s="1"/>
    </row>
    <row r="42" spans="1:3" ht="30.75" customHeight="1" x14ac:dyDescent="0.3">
      <c r="A42" s="6"/>
      <c r="B42" s="1"/>
      <c r="C42" s="1"/>
    </row>
    <row r="43" spans="1:3" ht="30.75" customHeight="1" x14ac:dyDescent="0.3">
      <c r="A43" s="6"/>
      <c r="B43" s="1"/>
      <c r="C43" s="1"/>
    </row>
    <row r="44" spans="1:3" ht="16.5" customHeight="1" x14ac:dyDescent="0.3">
      <c r="A44" s="6"/>
      <c r="B44" s="1"/>
      <c r="C44" s="1"/>
    </row>
    <row r="45" spans="1:3" ht="30.75" customHeight="1" x14ac:dyDescent="0.3">
      <c r="A45" s="6"/>
      <c r="B45" s="1"/>
      <c r="C45" s="1"/>
    </row>
    <row r="47" spans="1:3" x14ac:dyDescent="0.3">
      <c r="A47" s="18"/>
      <c r="B47" s="19"/>
      <c r="C47" s="19"/>
    </row>
    <row r="48" spans="1:3" ht="45" customHeight="1" x14ac:dyDescent="0.3">
      <c r="A48" s="20"/>
      <c r="B48" s="21"/>
      <c r="C48" s="21"/>
    </row>
    <row r="49" spans="1:3" ht="16.5" customHeight="1" x14ac:dyDescent="0.3">
      <c r="A49" s="20"/>
      <c r="B49" s="21"/>
      <c r="C49" s="21"/>
    </row>
    <row r="50" spans="1:3" ht="30.75" customHeight="1" x14ac:dyDescent="0.3">
      <c r="A50" s="20"/>
      <c r="B50" s="21"/>
      <c r="C50" s="21"/>
    </row>
    <row r="51" spans="1:3" ht="45" customHeight="1" x14ac:dyDescent="0.3">
      <c r="A51" s="20"/>
      <c r="B51" s="21"/>
      <c r="C51" s="21"/>
    </row>
    <row r="52" spans="1:3" x14ac:dyDescent="0.3">
      <c r="A52" s="19"/>
      <c r="B52" s="19"/>
      <c r="C52" s="19"/>
    </row>
    <row r="53" spans="1:3" x14ac:dyDescent="0.3">
      <c r="A53" s="18"/>
      <c r="B53" s="19"/>
      <c r="C53" s="19"/>
    </row>
    <row r="54" spans="1:3" ht="30.75" customHeight="1" x14ac:dyDescent="0.3">
      <c r="A54" s="1"/>
      <c r="B54" s="1"/>
      <c r="C54" s="1"/>
    </row>
  </sheetData>
  <mergeCells count="27">
    <mergeCell ref="B51:C51"/>
    <mergeCell ref="A54:C54"/>
    <mergeCell ref="B44:C44"/>
    <mergeCell ref="B45:C45"/>
    <mergeCell ref="B48:C48"/>
    <mergeCell ref="B49:C49"/>
    <mergeCell ref="B50:C50"/>
    <mergeCell ref="B37:C37"/>
    <mergeCell ref="B40:C40"/>
    <mergeCell ref="B41:C41"/>
    <mergeCell ref="B42:C42"/>
    <mergeCell ref="B43:C43"/>
    <mergeCell ref="B32:C32"/>
    <mergeCell ref="B33:C33"/>
    <mergeCell ref="B34:C34"/>
    <mergeCell ref="B35:C35"/>
    <mergeCell ref="B36:C36"/>
    <mergeCell ref="B12:C12"/>
    <mergeCell ref="B13:C13"/>
    <mergeCell ref="B29:C29"/>
    <mergeCell ref="B30:C30"/>
    <mergeCell ref="B31:C31"/>
    <mergeCell ref="A5:C5"/>
    <mergeCell ref="B8:C8"/>
    <mergeCell ref="B9:C9"/>
    <mergeCell ref="B10:C10"/>
    <mergeCell ref="B11:C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zoomScaleNormal="100" workbookViewId="0">
      <pane ySplit="1" topLeftCell="A2" activePane="bottomLeft" state="frozen"/>
      <selection pane="bottomLeft" activeCell="J7" sqref="J7"/>
    </sheetView>
  </sheetViews>
  <sheetFormatPr defaultColWidth="8.6640625" defaultRowHeight="14.4" x14ac:dyDescent="0.3"/>
  <cols>
    <col min="1" max="1" width="10" customWidth="1"/>
    <col min="2" max="2" width="18" customWidth="1"/>
    <col min="3" max="3" width="17.88671875" bestFit="1" customWidth="1"/>
    <col min="4" max="4" width="13" customWidth="1"/>
    <col min="5" max="5" width="16" customWidth="1"/>
    <col min="6" max="6" width="12" customWidth="1"/>
  </cols>
  <sheetData>
    <row r="1" spans="1:6" ht="31.5" customHeight="1" x14ac:dyDescent="0.3">
      <c r="A1" s="7" t="s">
        <v>60</v>
      </c>
      <c r="B1" s="7" t="s">
        <v>61</v>
      </c>
      <c r="C1" s="7" t="s">
        <v>62</v>
      </c>
      <c r="D1" s="7" t="s">
        <v>63</v>
      </c>
      <c r="E1" s="7" t="s">
        <v>64</v>
      </c>
      <c r="F1" s="7" t="s">
        <v>59</v>
      </c>
    </row>
    <row r="2" spans="1:6" x14ac:dyDescent="0.3">
      <c r="A2" s="8" t="s">
        <v>65</v>
      </c>
      <c r="B2" s="8" t="s">
        <v>66</v>
      </c>
      <c r="C2" s="8" t="s">
        <v>67</v>
      </c>
      <c r="D2" s="8" t="s">
        <v>68</v>
      </c>
      <c r="E2" s="16">
        <v>85000</v>
      </c>
      <c r="F2" s="8" t="str">
        <f>IF(COUNTIF(Introduction!$A$23:$A$26,D2)&gt;0,"High",IF(COUNTIF(Introduction!$B$23:$B$26,C2)&gt;0,"Medium","Low"))</f>
        <v>Low</v>
      </c>
    </row>
    <row r="3" spans="1:6" x14ac:dyDescent="0.3">
      <c r="A3" s="8" t="s">
        <v>69</v>
      </c>
      <c r="B3" s="8" t="s">
        <v>70</v>
      </c>
      <c r="C3" s="8" t="s">
        <v>67</v>
      </c>
      <c r="D3" s="8" t="s">
        <v>68</v>
      </c>
      <c r="E3" s="16">
        <v>62000</v>
      </c>
      <c r="F3" s="8" t="str">
        <f>IF(COUNTIF(Introduction!$A$23:$A$26,D3)&gt;0,"High",IF(COUNTIF(Introduction!$B$23:$B$26,C3)&gt;0,"Medium","Low"))</f>
        <v>Low</v>
      </c>
    </row>
    <row r="4" spans="1:6" x14ac:dyDescent="0.3">
      <c r="A4" s="8" t="s">
        <v>71</v>
      </c>
      <c r="B4" s="8" t="s">
        <v>72</v>
      </c>
      <c r="C4" s="8" t="s">
        <v>73</v>
      </c>
      <c r="D4" s="8" t="s">
        <v>68</v>
      </c>
      <c r="E4" s="16">
        <v>150000</v>
      </c>
      <c r="F4" s="8" t="str">
        <f>IF(COUNTIF(Introduction!$A$23:$A$26,D4)&gt;0,"High",IF(COUNTIF(Introduction!$B$23:$B$26,C4)&gt;0,"Medium","Low"))</f>
        <v>Low</v>
      </c>
    </row>
    <row r="5" spans="1:6" x14ac:dyDescent="0.3">
      <c r="A5" s="8" t="s">
        <v>74</v>
      </c>
      <c r="B5" s="8" t="s">
        <v>75</v>
      </c>
      <c r="C5" s="8" t="s">
        <v>76</v>
      </c>
      <c r="D5" s="8" t="s">
        <v>68</v>
      </c>
      <c r="E5" s="16">
        <v>15000</v>
      </c>
      <c r="F5" s="8" t="str">
        <f>IF(COUNTIF(Introduction!$A$23:$A$26,D5)&gt;0,"High",IF(COUNTIF(Introduction!$B$23:$B$26,C5)&gt;0,"Medium","Low"))</f>
        <v>Low</v>
      </c>
    </row>
    <row r="6" spans="1:6" x14ac:dyDescent="0.3">
      <c r="A6" s="8" t="s">
        <v>77</v>
      </c>
      <c r="B6" s="8" t="s">
        <v>78</v>
      </c>
      <c r="C6" s="8" t="s">
        <v>32</v>
      </c>
      <c r="D6" s="8" t="s">
        <v>68</v>
      </c>
      <c r="E6" s="16">
        <v>120000</v>
      </c>
      <c r="F6" s="8" t="str">
        <f>IF(COUNTIF(Introduction!$A$23:$A$26,D6)&gt;0,"High",IF(COUNTIF(Introduction!$B$23:$B$26,C6)&gt;0,"Medium","Low"))</f>
        <v>Medium</v>
      </c>
    </row>
    <row r="7" spans="1:6" x14ac:dyDescent="0.3">
      <c r="A7" s="8" t="s">
        <v>79</v>
      </c>
      <c r="B7" s="8" t="s">
        <v>80</v>
      </c>
      <c r="C7" s="8" t="s">
        <v>67</v>
      </c>
      <c r="D7" s="8" t="s">
        <v>81</v>
      </c>
      <c r="E7" s="16">
        <v>210000</v>
      </c>
      <c r="F7" s="8" t="str">
        <f>IF(COUNTIF(Introduction!$A$23:$A$26,D7)&gt;0,"High",IF(COUNTIF(Introduction!$B$23:$B$26,C7)&gt;0,"Medium","Low"))</f>
        <v>Low</v>
      </c>
    </row>
    <row r="8" spans="1:6" x14ac:dyDescent="0.3">
      <c r="A8" s="8" t="s">
        <v>82</v>
      </c>
      <c r="B8" s="8" t="s">
        <v>83</v>
      </c>
      <c r="C8" s="8" t="s">
        <v>35</v>
      </c>
      <c r="D8" s="8" t="s">
        <v>68</v>
      </c>
      <c r="E8" s="16">
        <v>90000</v>
      </c>
      <c r="F8" s="8" t="str">
        <f>IF(COUNTIF(Introduction!$A$23:$A$26,D8)&gt;0,"High",IF(COUNTIF(Introduction!$B$23:$B$26,C8)&gt;0,"Medium","Low"))</f>
        <v>Medium</v>
      </c>
    </row>
    <row r="9" spans="1:6" x14ac:dyDescent="0.3">
      <c r="A9" s="8" t="s">
        <v>84</v>
      </c>
      <c r="B9" s="8" t="s">
        <v>85</v>
      </c>
      <c r="C9" s="8" t="s">
        <v>86</v>
      </c>
      <c r="D9" s="8" t="s">
        <v>68</v>
      </c>
      <c r="E9" s="16">
        <v>20000</v>
      </c>
      <c r="F9" s="8" t="str">
        <f>IF(COUNTIF(Introduction!$A$23:$A$26,D9)&gt;0,"High",IF(COUNTIF(Introduction!$B$23:$B$26,C9)&gt;0,"Medium","Low"))</f>
        <v>Low</v>
      </c>
    </row>
    <row r="10" spans="1:6" x14ac:dyDescent="0.3">
      <c r="A10" s="8" t="s">
        <v>87</v>
      </c>
      <c r="B10" s="8" t="s">
        <v>88</v>
      </c>
      <c r="C10" s="8" t="s">
        <v>38</v>
      </c>
      <c r="D10" s="8" t="s">
        <v>68</v>
      </c>
      <c r="E10" s="16">
        <v>300000</v>
      </c>
      <c r="F10" s="8" t="str">
        <f>IF(COUNTIF(Introduction!$A$23:$A$26,D10)&gt;0,"High",IF(COUNTIF(Introduction!$B$23:$B$26,C10)&gt;0,"Medium","Low"))</f>
        <v>Medium</v>
      </c>
    </row>
    <row r="11" spans="1:6" x14ac:dyDescent="0.3">
      <c r="A11" s="8" t="s">
        <v>89</v>
      </c>
      <c r="B11" s="8" t="s">
        <v>90</v>
      </c>
      <c r="C11" s="8" t="s">
        <v>91</v>
      </c>
      <c r="D11" s="8" t="s">
        <v>68</v>
      </c>
      <c r="E11" s="16">
        <v>45000</v>
      </c>
      <c r="F11" s="8" t="str">
        <f>IF(COUNTIF(Introduction!$A$23:$A$26,D11)&gt;0,"High",IF(COUNTIF(Introduction!$B$23:$B$26,C11)&gt;0,"Medium","Low"))</f>
        <v>Low</v>
      </c>
    </row>
    <row r="12" spans="1:6" x14ac:dyDescent="0.3">
      <c r="A12" s="8" t="s">
        <v>92</v>
      </c>
      <c r="B12" s="8" t="s">
        <v>93</v>
      </c>
      <c r="C12" s="8" t="s">
        <v>39</v>
      </c>
      <c r="D12" s="8" t="s">
        <v>94</v>
      </c>
      <c r="E12" s="16">
        <v>400000</v>
      </c>
      <c r="F12" s="8" t="str">
        <f>IF(COUNTIF(Introduction!$A$23:$A$26,D12)&gt;0,"High",IF(COUNTIF(Introduction!$B$23:$B$26,C12)&gt;0,"Medium","Low"))</f>
        <v>Medium</v>
      </c>
    </row>
    <row r="13" spans="1:6" x14ac:dyDescent="0.3">
      <c r="A13" s="8" t="s">
        <v>95</v>
      </c>
      <c r="B13" s="8" t="s">
        <v>96</v>
      </c>
      <c r="C13" s="8" t="s">
        <v>32</v>
      </c>
      <c r="D13" s="8" t="s">
        <v>68</v>
      </c>
      <c r="E13" s="16">
        <v>80000</v>
      </c>
      <c r="F13" s="8" t="str">
        <f>IF(COUNTIF(Introduction!$A$23:$A$26,D13)&gt;0,"High",IF(COUNTIF(Introduction!$B$23:$B$26,C13)&gt;0,"Medium","Low"))</f>
        <v>Medium</v>
      </c>
    </row>
    <row r="14" spans="1:6" x14ac:dyDescent="0.3">
      <c r="A14" s="8" t="s">
        <v>97</v>
      </c>
      <c r="B14" s="8" t="s">
        <v>98</v>
      </c>
      <c r="C14" s="8" t="s">
        <v>39</v>
      </c>
      <c r="D14" s="8" t="s">
        <v>34</v>
      </c>
      <c r="E14" s="16">
        <v>220000</v>
      </c>
      <c r="F14" s="8" t="str">
        <f>IF(COUNTIF(Introduction!$A$23:$A$26,D14)&gt;0,"High",IF(COUNTIF(Introduction!$B$23:$B$26,C14)&gt;0,"Medium","Low"))</f>
        <v>High</v>
      </c>
    </row>
    <row r="15" spans="1:6" x14ac:dyDescent="0.3">
      <c r="A15" s="8" t="s">
        <v>99</v>
      </c>
      <c r="B15" s="8" t="s">
        <v>100</v>
      </c>
      <c r="C15" s="8" t="s">
        <v>32</v>
      </c>
      <c r="D15" s="8" t="s">
        <v>68</v>
      </c>
      <c r="E15" s="16">
        <v>140000</v>
      </c>
      <c r="F15" s="8" t="str">
        <f>IF(COUNTIF(Introduction!$A$23:$A$26,D15)&gt;0,"High",IF(COUNTIF(Introduction!$B$23:$B$26,C15)&gt;0,"Medium","Low"))</f>
        <v>Medium</v>
      </c>
    </row>
    <row r="16" spans="1:6" x14ac:dyDescent="0.3">
      <c r="A16" s="8" t="s">
        <v>101</v>
      </c>
      <c r="B16" s="8" t="s">
        <v>102</v>
      </c>
      <c r="C16" s="8" t="s">
        <v>67</v>
      </c>
      <c r="D16" s="8" t="s">
        <v>68</v>
      </c>
      <c r="E16" s="16">
        <v>58000</v>
      </c>
      <c r="F16" s="8" t="str">
        <f>IF(COUNTIF(Introduction!$A$23:$A$26,D16)&gt;0,"High",IF(COUNTIF(Introduction!$B$23:$B$26,C16)&gt;0,"Medium","Low"))</f>
        <v>Low</v>
      </c>
    </row>
  </sheetData>
  <autoFilter ref="A1:F16" xr:uid="{00000000-0009-0000-0000-000001000000}"/>
  <conditionalFormatting sqref="F2:F16">
    <cfRule type="cellIs" dxfId="11" priority="2" operator="equal">
      <formula>"High"</formula>
    </cfRule>
    <cfRule type="cellIs" dxfId="10" priority="3" operator="equal">
      <formula>"Medium"</formula>
    </cfRule>
    <cfRule type="cellIs" dxfId="9" priority="4" operator="equal">
      <formula>"Low"</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
  <sheetViews>
    <sheetView zoomScaleNormal="100" workbookViewId="0">
      <pane xSplit="2" ySplit="1" topLeftCell="C2" activePane="bottomRight" state="frozen"/>
      <selection pane="topRight" activeCell="C1" sqref="C1"/>
      <selection pane="bottomLeft" activeCell="A2" sqref="A2"/>
      <selection pane="bottomRight" activeCell="L15" sqref="L15"/>
    </sheetView>
  </sheetViews>
  <sheetFormatPr defaultColWidth="8.6640625" defaultRowHeight="14.4" x14ac:dyDescent="0.3"/>
  <cols>
    <col min="1" max="1" width="10" customWidth="1"/>
    <col min="2" max="2" width="18" customWidth="1"/>
    <col min="3" max="4" width="14" customWidth="1"/>
    <col min="5" max="5" width="22" customWidth="1"/>
    <col min="6" max="6" width="11" customWidth="1"/>
    <col min="7" max="7" width="14" customWidth="1"/>
    <col min="8" max="8" width="17" customWidth="1"/>
  </cols>
  <sheetData>
    <row r="1" spans="1:8" ht="31.5" customHeight="1" x14ac:dyDescent="0.3">
      <c r="A1" s="7" t="s">
        <v>60</v>
      </c>
      <c r="B1" s="7" t="s">
        <v>61</v>
      </c>
      <c r="C1" s="7" t="s">
        <v>103</v>
      </c>
      <c r="D1" s="7" t="s">
        <v>104</v>
      </c>
      <c r="E1" s="7" t="s">
        <v>105</v>
      </c>
      <c r="F1" s="7" t="s">
        <v>106</v>
      </c>
      <c r="G1" s="7" t="s">
        <v>107</v>
      </c>
      <c r="H1" s="7" t="s">
        <v>45</v>
      </c>
    </row>
    <row r="2" spans="1:8" x14ac:dyDescent="0.3">
      <c r="A2" s="8" t="s">
        <v>65</v>
      </c>
      <c r="B2" s="8" t="str">
        <f>INDEX(Client_Data!$B$2:$B$16,MATCH(A2,Client_Data!$A$2:$A$16,0))</f>
        <v>Aarav Mehta</v>
      </c>
      <c r="C2" s="17">
        <v>47556</v>
      </c>
      <c r="D2" s="17">
        <v>46246</v>
      </c>
      <c r="E2" s="8" t="s">
        <v>108</v>
      </c>
      <c r="F2" s="8" t="str">
        <f>IF(C2="","Missing",IF(C2&lt;Introduction!$B$17,"Expired","Valid"))</f>
        <v>Valid</v>
      </c>
      <c r="G2" s="8" t="str">
        <f>IF(D2="","Missing",IF(Introduction!$B$17-D2&gt;Introduction!$B$18,"Old","Valid"))</f>
        <v>Valid</v>
      </c>
      <c r="H2" s="8" t="str">
        <f t="shared" ref="H2:H16" si="0">IF(AND(F2="Valid",G2="Valid",E2&lt;&gt;""),"Complete","Action Required")</f>
        <v>Complete</v>
      </c>
    </row>
    <row r="3" spans="1:8" x14ac:dyDescent="0.3">
      <c r="A3" s="8" t="s">
        <v>69</v>
      </c>
      <c r="B3" s="8" t="str">
        <f>INDEX(Client_Data!$B$2:$B$16,MATCH(A3,Client_Data!$A$2:$A$16,0))</f>
        <v>Priya Nair</v>
      </c>
      <c r="C3" s="17">
        <v>47299</v>
      </c>
      <c r="D3" s="17">
        <v>46267</v>
      </c>
      <c r="E3" s="8" t="s">
        <v>108</v>
      </c>
      <c r="F3" s="8" t="str">
        <f>IF(C3="","Missing",IF(C3&lt;Introduction!$B$17,"Expired","Valid"))</f>
        <v>Valid</v>
      </c>
      <c r="G3" s="8" t="str">
        <f>IF(D3="","Missing",IF(Introduction!$B$17-D3&gt;Introduction!$B$18,"Old","Valid"))</f>
        <v>Valid</v>
      </c>
      <c r="H3" s="8" t="str">
        <f t="shared" si="0"/>
        <v>Complete</v>
      </c>
    </row>
    <row r="4" spans="1:8" x14ac:dyDescent="0.3">
      <c r="A4" s="8" t="s">
        <v>71</v>
      </c>
      <c r="B4" s="8" t="str">
        <f>INDEX(Client_Data!$B$2:$B$16,MATCH(A4,Client_Data!$A$2:$A$16,0))</f>
        <v>Rohan Deshpande</v>
      </c>
      <c r="C4" s="17">
        <v>47077</v>
      </c>
      <c r="D4" s="17">
        <v>46228</v>
      </c>
      <c r="E4" s="8" t="s">
        <v>109</v>
      </c>
      <c r="F4" s="8" t="str">
        <f>IF(C4="","Missing",IF(C4&lt;Introduction!$B$17,"Expired","Valid"))</f>
        <v>Valid</v>
      </c>
      <c r="G4" s="8" t="str">
        <f>IF(D4="","Missing",IF(Introduction!$B$17-D4&gt;Introduction!$B$18,"Old","Valid"))</f>
        <v>Valid</v>
      </c>
      <c r="H4" s="8" t="str">
        <f t="shared" si="0"/>
        <v>Complete</v>
      </c>
    </row>
    <row r="5" spans="1:8" x14ac:dyDescent="0.3">
      <c r="A5" s="8" t="s">
        <v>74</v>
      </c>
      <c r="B5" s="8" t="str">
        <f>INDEX(Client_Data!$B$2:$B$16,MATCH(A5,Client_Data!$A$2:$A$16,0))</f>
        <v>Sneha Kulkarni</v>
      </c>
      <c r="C5" s="17">
        <v>46428</v>
      </c>
      <c r="D5" s="17">
        <v>46264</v>
      </c>
      <c r="E5" s="8" t="s">
        <v>110</v>
      </c>
      <c r="F5" s="8" t="str">
        <f>IF(C5="","Missing",IF(C5&lt;Introduction!$B$17,"Expired","Valid"))</f>
        <v>Valid</v>
      </c>
      <c r="G5" s="8" t="str">
        <f>IF(D5="","Missing",IF(Introduction!$B$17-D5&gt;Introduction!$B$18,"Old","Valid"))</f>
        <v>Valid</v>
      </c>
      <c r="H5" s="8" t="str">
        <f t="shared" si="0"/>
        <v>Complete</v>
      </c>
    </row>
    <row r="6" spans="1:8" x14ac:dyDescent="0.3">
      <c r="A6" s="8" t="s">
        <v>77</v>
      </c>
      <c r="B6" s="8" t="str">
        <f>INDEX(Client_Data!$B$2:$B$16,MATCH(A6,Client_Data!$A$2:$A$16,0))</f>
        <v>Vikram Singh</v>
      </c>
      <c r="C6" s="17">
        <v>46249</v>
      </c>
      <c r="D6" s="17">
        <v>46152</v>
      </c>
      <c r="E6" s="8" t="s">
        <v>111</v>
      </c>
      <c r="F6" s="8" t="str">
        <f>IF(C6="","Missing",IF(C6&lt;Introduction!$B$17,"Expired","Valid"))</f>
        <v>Expired</v>
      </c>
      <c r="G6" s="8" t="str">
        <f>IF(D6="","Missing",IF(Introduction!$B$17-D6&gt;Introduction!$B$18,"Old","Valid"))</f>
        <v>Old</v>
      </c>
      <c r="H6" s="8" t="str">
        <f t="shared" si="0"/>
        <v>Action Required</v>
      </c>
    </row>
    <row r="7" spans="1:8" x14ac:dyDescent="0.3">
      <c r="A7" s="8" t="s">
        <v>79</v>
      </c>
      <c r="B7" s="8" t="str">
        <f>INDEX(Client_Data!$B$2:$B$16,MATCH(A7,Client_Data!$A$2:$A$16,0))</f>
        <v>Ananya Iyer</v>
      </c>
      <c r="C7" s="17">
        <v>47853</v>
      </c>
      <c r="D7" s="17">
        <v>46280</v>
      </c>
      <c r="E7" s="8" t="s">
        <v>108</v>
      </c>
      <c r="F7" s="8" t="str">
        <f>IF(C7="","Missing",IF(C7&lt;Introduction!$B$17,"Expired","Valid"))</f>
        <v>Valid</v>
      </c>
      <c r="G7" s="8" t="str">
        <f>IF(D7="","Missing",IF(Introduction!$B$17-D7&gt;Introduction!$B$18,"Old","Valid"))</f>
        <v>Valid</v>
      </c>
      <c r="H7" s="8" t="str">
        <f t="shared" si="0"/>
        <v>Complete</v>
      </c>
    </row>
    <row r="8" spans="1:8" x14ac:dyDescent="0.3">
      <c r="A8" s="8" t="s">
        <v>82</v>
      </c>
      <c r="B8" s="8" t="str">
        <f>INDEX(Client_Data!$B$2:$B$16,MATCH(A8,Client_Data!$A$2:$A$16,0))</f>
        <v>Karan Malhotra</v>
      </c>
      <c r="C8" s="17">
        <v>47370</v>
      </c>
      <c r="D8" s="17">
        <v>46235</v>
      </c>
      <c r="E8" s="8" t="s">
        <v>112</v>
      </c>
      <c r="F8" s="8" t="str">
        <f>IF(C8="","Missing",IF(C8&lt;Introduction!$B$17,"Expired","Valid"))</f>
        <v>Valid</v>
      </c>
      <c r="G8" s="8" t="str">
        <f>IF(D8="","Missing",IF(Introduction!$B$17-D8&gt;Introduction!$B$18,"Old","Valid"))</f>
        <v>Valid</v>
      </c>
      <c r="H8" s="8" t="str">
        <f t="shared" si="0"/>
        <v>Complete</v>
      </c>
    </row>
    <row r="9" spans="1:8" x14ac:dyDescent="0.3">
      <c r="A9" s="8" t="s">
        <v>84</v>
      </c>
      <c r="B9" s="8" t="str">
        <f>INDEX(Client_Data!$B$2:$B$16,MATCH(A9,Client_Data!$A$2:$A$16,0))</f>
        <v>Fatima Sheikh</v>
      </c>
      <c r="C9" s="17">
        <v>46861</v>
      </c>
      <c r="D9" s="17">
        <v>46193</v>
      </c>
      <c r="E9" s="8" t="s">
        <v>113</v>
      </c>
      <c r="F9" s="8" t="str">
        <f>IF(C9="","Missing",IF(C9&lt;Introduction!$B$17,"Expired","Valid"))</f>
        <v>Valid</v>
      </c>
      <c r="G9" s="8" t="str">
        <f>IF(D9="","Missing",IF(Introduction!$B$17-D9&gt;Introduction!$B$18,"Old","Valid"))</f>
        <v>Old</v>
      </c>
      <c r="H9" s="8" t="str">
        <f t="shared" si="0"/>
        <v>Action Required</v>
      </c>
    </row>
    <row r="10" spans="1:8" x14ac:dyDescent="0.3">
      <c r="A10" s="8" t="s">
        <v>87</v>
      </c>
      <c r="B10" s="8" t="str">
        <f>INDEX(Client_Data!$B$2:$B$16,MATCH(A10,Client_Data!$A$2:$A$16,0))</f>
        <v>Rajesh Gupta</v>
      </c>
      <c r="C10" s="17">
        <v>46722</v>
      </c>
      <c r="D10" s="17">
        <v>46275</v>
      </c>
      <c r="E10" s="8" t="s">
        <v>114</v>
      </c>
      <c r="F10" s="8" t="str">
        <f>IF(C10="","Missing",IF(C10&lt;Introduction!$B$17,"Expired","Valid"))</f>
        <v>Valid</v>
      </c>
      <c r="G10" s="8" t="str">
        <f>IF(D10="","Missing",IF(Introduction!$B$17-D10&gt;Introduction!$B$18,"Old","Valid"))</f>
        <v>Valid</v>
      </c>
      <c r="H10" s="8" t="str">
        <f t="shared" si="0"/>
        <v>Complete</v>
      </c>
    </row>
    <row r="11" spans="1:8" x14ac:dyDescent="0.3">
      <c r="A11" s="8" t="s">
        <v>89</v>
      </c>
      <c r="B11" s="8" t="str">
        <f>INDEX(Client_Data!$B$2:$B$16,MATCH(A11,Client_Data!$A$2:$A$16,0))</f>
        <v>Meera Joshi</v>
      </c>
      <c r="C11" s="17">
        <v>46285</v>
      </c>
      <c r="D11" s="17">
        <v>46252</v>
      </c>
      <c r="E11" s="8" t="s">
        <v>115</v>
      </c>
      <c r="F11" s="8" t="str">
        <f>IF(C11="","Missing",IF(C11&lt;Introduction!$B$17,"Expired","Valid"))</f>
        <v>Expired</v>
      </c>
      <c r="G11" s="8" t="str">
        <f>IF(D11="","Missing",IF(Introduction!$B$17-D11&gt;Introduction!$B$18,"Old","Valid"))</f>
        <v>Valid</v>
      </c>
      <c r="H11" s="8" t="str">
        <f t="shared" si="0"/>
        <v>Action Required</v>
      </c>
    </row>
    <row r="12" spans="1:8" x14ac:dyDescent="0.3">
      <c r="A12" s="8" t="s">
        <v>92</v>
      </c>
      <c r="B12" s="8" t="str">
        <f>INDEX(Client_Data!$B$2:$B$16,MATCH(A12,Client_Data!$A$2:$A$16,0))</f>
        <v>Arjun Reddy</v>
      </c>
      <c r="C12" s="17">
        <v>47671</v>
      </c>
      <c r="D12" s="17">
        <v>46256</v>
      </c>
      <c r="E12" s="8" t="s">
        <v>116</v>
      </c>
      <c r="F12" s="8" t="str">
        <f>IF(C12="","Missing",IF(C12&lt;Introduction!$B$17,"Expired","Valid"))</f>
        <v>Valid</v>
      </c>
      <c r="G12" s="8" t="str">
        <f>IF(D12="","Missing",IF(Introduction!$B$17-D12&gt;Introduction!$B$18,"Old","Valid"))</f>
        <v>Valid</v>
      </c>
      <c r="H12" s="8" t="str">
        <f t="shared" si="0"/>
        <v>Complete</v>
      </c>
    </row>
    <row r="13" spans="1:8" x14ac:dyDescent="0.3">
      <c r="A13" s="8" t="s">
        <v>95</v>
      </c>
      <c r="B13" s="8" t="str">
        <f>INDEX(Client_Data!$B$2:$B$16,MATCH(A13,Client_Data!$A$2:$A$16,0))</f>
        <v>Sunita Bansal</v>
      </c>
      <c r="C13" s="17">
        <v>47180</v>
      </c>
      <c r="D13" s="17">
        <v>46270</v>
      </c>
      <c r="E13" s="8"/>
      <c r="F13" s="8" t="str">
        <f>IF(C13="","Missing",IF(C13&lt;Introduction!$B$17,"Expired","Valid"))</f>
        <v>Valid</v>
      </c>
      <c r="G13" s="8" t="str">
        <f>IF(D13="","Missing",IF(Introduction!$B$17-D13&gt;Introduction!$B$18,"Old","Valid"))</f>
        <v>Valid</v>
      </c>
      <c r="H13" s="8" t="str">
        <f t="shared" si="0"/>
        <v>Action Required</v>
      </c>
    </row>
    <row r="14" spans="1:8" x14ac:dyDescent="0.3">
      <c r="A14" s="8" t="s">
        <v>97</v>
      </c>
      <c r="B14" s="8" t="str">
        <f>INDEX(Client_Data!$B$2:$B$16,MATCH(A14,Client_Data!$A$2:$A$16,0))</f>
        <v>Mohan Das</v>
      </c>
      <c r="C14" s="17">
        <v>46463</v>
      </c>
      <c r="D14" s="17">
        <v>46170</v>
      </c>
      <c r="E14" s="8" t="s">
        <v>116</v>
      </c>
      <c r="F14" s="8" t="str">
        <f>IF(C14="","Missing",IF(C14&lt;Introduction!$B$17,"Expired","Valid"))</f>
        <v>Valid</v>
      </c>
      <c r="G14" s="8" t="str">
        <f>IF(D14="","Missing",IF(Introduction!$B$17-D14&gt;Introduction!$B$18,"Old","Valid"))</f>
        <v>Old</v>
      </c>
      <c r="H14" s="8" t="str">
        <f t="shared" si="0"/>
        <v>Action Required</v>
      </c>
    </row>
    <row r="15" spans="1:8" x14ac:dyDescent="0.3">
      <c r="A15" s="8" t="s">
        <v>99</v>
      </c>
      <c r="B15" s="8" t="str">
        <f>INDEX(Client_Data!$B$2:$B$16,MATCH(A15,Client_Data!$A$2:$A$16,0))</f>
        <v>Dev Chopra</v>
      </c>
      <c r="C15" s="17">
        <v>46266</v>
      </c>
      <c r="D15" s="17">
        <v>46259</v>
      </c>
      <c r="E15" s="8" t="s">
        <v>117</v>
      </c>
      <c r="F15" s="8" t="str">
        <f>IF(C15="","Missing",IF(C15&lt;Introduction!$B$17,"Expired","Valid"))</f>
        <v>Expired</v>
      </c>
      <c r="G15" s="8" t="str">
        <f>IF(D15="","Missing",IF(Introduction!$B$17-D15&gt;Introduction!$B$18,"Old","Valid"))</f>
        <v>Valid</v>
      </c>
      <c r="H15" s="8" t="str">
        <f t="shared" si="0"/>
        <v>Action Required</v>
      </c>
    </row>
    <row r="16" spans="1:8" x14ac:dyDescent="0.3">
      <c r="A16" s="8" t="s">
        <v>101</v>
      </c>
      <c r="B16" s="8" t="str">
        <f>INDEX(Client_Data!$B$2:$B$16,MATCH(A16,Client_Data!$A$2:$A$16,0))</f>
        <v>Shreya Pandey</v>
      </c>
      <c r="C16" s="17"/>
      <c r="D16" s="17">
        <v>46279</v>
      </c>
      <c r="E16" s="8" t="s">
        <v>108</v>
      </c>
      <c r="F16" s="8" t="str">
        <f>IF(C16="","Missing",IF(C16&lt;Introduction!$B$17,"Expired","Valid"))</f>
        <v>Missing</v>
      </c>
      <c r="G16" s="8" t="str">
        <f>IF(D16="","Missing",IF(Introduction!$B$17-D16&gt;Introduction!$B$18,"Old","Valid"))</f>
        <v>Valid</v>
      </c>
      <c r="H16" s="8" t="str">
        <f t="shared" si="0"/>
        <v>Action Required</v>
      </c>
    </row>
  </sheetData>
  <autoFilter ref="A1:H16" xr:uid="{00000000-0009-0000-0000-000002000000}"/>
  <conditionalFormatting sqref="F2:F16">
    <cfRule type="cellIs" dxfId="8" priority="3" operator="equal">
      <formula>"Expired"</formula>
    </cfRule>
  </conditionalFormatting>
  <conditionalFormatting sqref="F2:G16">
    <cfRule type="cellIs" dxfId="7" priority="2" operator="equal">
      <formula>"Valid"</formula>
    </cfRule>
    <cfRule type="cellIs" dxfId="6" priority="4" operator="equal">
      <formula>"Missing"</formula>
    </cfRule>
  </conditionalFormatting>
  <conditionalFormatting sqref="G2:G16">
    <cfRule type="cellIs" dxfId="5" priority="6" operator="equal">
      <formula>"Old"</formula>
    </cfRule>
  </conditionalFormatting>
  <conditionalFormatting sqref="H2:H16">
    <cfRule type="cellIs" dxfId="4" priority="8" operator="equal">
      <formula>"Complete"</formula>
    </cfRule>
    <cfRule type="cellIs" dxfId="3" priority="9" operator="equal">
      <formula>"Action Required"</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0"/>
  <sheetViews>
    <sheetView zoomScaleNormal="100" workbookViewId="0">
      <pane ySplit="1" topLeftCell="A2" activePane="bottomLeft" state="frozen"/>
      <selection pane="bottomLeft" activeCell="O6" sqref="O6"/>
    </sheetView>
  </sheetViews>
  <sheetFormatPr defaultColWidth="8.6640625" defaultRowHeight="14.4" x14ac:dyDescent="0.3"/>
  <cols>
    <col min="1" max="1" width="8" customWidth="1"/>
    <col min="2" max="2" width="13" customWidth="1"/>
    <col min="3" max="3" width="10" customWidth="1"/>
    <col min="4" max="4" width="17" customWidth="1"/>
    <col min="5" max="5" width="14" customWidth="1"/>
    <col min="6" max="6" width="14.88671875" customWidth="1"/>
    <col min="7" max="7" width="11" customWidth="1"/>
    <col min="8" max="8" width="12" customWidth="1"/>
    <col min="9" max="9" width="13" customWidth="1"/>
    <col min="10" max="10" width="10" customWidth="1"/>
  </cols>
  <sheetData>
    <row r="1" spans="1:10" ht="31.5" customHeight="1" x14ac:dyDescent="0.3">
      <c r="A1" s="7" t="s">
        <v>118</v>
      </c>
      <c r="B1" s="7" t="s">
        <v>119</v>
      </c>
      <c r="C1" s="7" t="s">
        <v>60</v>
      </c>
      <c r="D1" s="7" t="s">
        <v>120</v>
      </c>
      <c r="E1" s="7" t="s">
        <v>121</v>
      </c>
      <c r="F1" s="7" t="s">
        <v>122</v>
      </c>
      <c r="G1" s="7" t="s">
        <v>123</v>
      </c>
      <c r="H1" s="7" t="s">
        <v>51</v>
      </c>
      <c r="I1" s="7" t="s">
        <v>53</v>
      </c>
      <c r="J1" s="7" t="s">
        <v>55</v>
      </c>
    </row>
    <row r="2" spans="1:10" x14ac:dyDescent="0.3">
      <c r="A2" s="8" t="s">
        <v>124</v>
      </c>
      <c r="B2" s="17">
        <v>46204</v>
      </c>
      <c r="C2" s="8" t="s">
        <v>79</v>
      </c>
      <c r="D2" s="8" t="s">
        <v>125</v>
      </c>
      <c r="E2" s="16">
        <v>210000</v>
      </c>
      <c r="F2" s="8" t="s">
        <v>81</v>
      </c>
      <c r="G2" s="8" t="str">
        <f>IF(E2&gt;=Introduction!$B$19,"Yes","No")</f>
        <v>No</v>
      </c>
      <c r="H2" s="8" t="str">
        <f>IF(AND(E2&gt;=Introduction!$B$19*Introduction!$B$20,E2&lt;Introduction!$B$19),"Yes","No")</f>
        <v>No</v>
      </c>
      <c r="I2" s="8" t="str">
        <f>IF(COUNTIF(Introduction!$A$23:$A$26,F2)&gt;0,"Yes","No")</f>
        <v>No</v>
      </c>
      <c r="J2" s="8" t="str">
        <f t="shared" ref="J2:J40" si="0">IF(COUNTIF(G2:I2,"Yes")&gt;0,"Review","OK")</f>
        <v>OK</v>
      </c>
    </row>
    <row r="3" spans="1:10" x14ac:dyDescent="0.3">
      <c r="A3" s="8" t="s">
        <v>126</v>
      </c>
      <c r="B3" s="17">
        <v>46204</v>
      </c>
      <c r="C3" s="8" t="s">
        <v>89</v>
      </c>
      <c r="D3" s="8" t="s">
        <v>127</v>
      </c>
      <c r="E3" s="16">
        <v>45000</v>
      </c>
      <c r="F3" s="8" t="s">
        <v>68</v>
      </c>
      <c r="G3" s="8" t="str">
        <f>IF(E3&gt;=Introduction!$B$19,"Yes","No")</f>
        <v>No</v>
      </c>
      <c r="H3" s="8" t="str">
        <f>IF(AND(E3&gt;=Introduction!$B$19*Introduction!$B$20,E3&lt;Introduction!$B$19),"Yes","No")</f>
        <v>No</v>
      </c>
      <c r="I3" s="8" t="str">
        <f>IF(COUNTIF(Introduction!$A$23:$A$26,F3)&gt;0,"Yes","No")</f>
        <v>No</v>
      </c>
      <c r="J3" s="8" t="str">
        <f t="shared" si="0"/>
        <v>OK</v>
      </c>
    </row>
    <row r="4" spans="1:10" x14ac:dyDescent="0.3">
      <c r="A4" s="8" t="s">
        <v>128</v>
      </c>
      <c r="B4" s="17">
        <v>46205</v>
      </c>
      <c r="C4" s="8" t="s">
        <v>65</v>
      </c>
      <c r="D4" s="8" t="s">
        <v>125</v>
      </c>
      <c r="E4" s="16">
        <v>85000</v>
      </c>
      <c r="F4" s="8" t="s">
        <v>68</v>
      </c>
      <c r="G4" s="8" t="str">
        <f>IF(E4&gt;=Introduction!$B$19,"Yes","No")</f>
        <v>No</v>
      </c>
      <c r="H4" s="8" t="str">
        <f>IF(AND(E4&gt;=Introduction!$B$19*Introduction!$B$20,E4&lt;Introduction!$B$19),"Yes","No")</f>
        <v>No</v>
      </c>
      <c r="I4" s="8" t="str">
        <f>IF(COUNTIF(Introduction!$A$23:$A$26,F4)&gt;0,"Yes","No")</f>
        <v>No</v>
      </c>
      <c r="J4" s="8" t="str">
        <f t="shared" si="0"/>
        <v>OK</v>
      </c>
    </row>
    <row r="5" spans="1:10" x14ac:dyDescent="0.3">
      <c r="A5" s="8" t="s">
        <v>129</v>
      </c>
      <c r="B5" s="17">
        <v>46205</v>
      </c>
      <c r="C5" s="8" t="s">
        <v>101</v>
      </c>
      <c r="D5" s="8" t="s">
        <v>125</v>
      </c>
      <c r="E5" s="16">
        <v>58000</v>
      </c>
      <c r="F5" s="8" t="s">
        <v>68</v>
      </c>
      <c r="G5" s="8" t="str">
        <f>IF(E5&gt;=Introduction!$B$19,"Yes","No")</f>
        <v>No</v>
      </c>
      <c r="H5" s="8" t="str">
        <f>IF(AND(E5&gt;=Introduction!$B$19*Introduction!$B$20,E5&lt;Introduction!$B$19),"Yes","No")</f>
        <v>No</v>
      </c>
      <c r="I5" s="8" t="str">
        <f>IF(COUNTIF(Introduction!$A$23:$A$26,F5)&gt;0,"Yes","No")</f>
        <v>No</v>
      </c>
      <c r="J5" s="8" t="str">
        <f t="shared" si="0"/>
        <v>OK</v>
      </c>
    </row>
    <row r="6" spans="1:10" x14ac:dyDescent="0.3">
      <c r="A6" s="8" t="s">
        <v>130</v>
      </c>
      <c r="B6" s="17">
        <v>46206</v>
      </c>
      <c r="C6" s="8" t="s">
        <v>69</v>
      </c>
      <c r="D6" s="8" t="s">
        <v>125</v>
      </c>
      <c r="E6" s="16">
        <v>62000</v>
      </c>
      <c r="F6" s="8" t="s">
        <v>68</v>
      </c>
      <c r="G6" s="8" t="str">
        <f>IF(E6&gt;=Introduction!$B$19,"Yes","No")</f>
        <v>No</v>
      </c>
      <c r="H6" s="8" t="str">
        <f>IF(AND(E6&gt;=Introduction!$B$19*Introduction!$B$20,E6&lt;Introduction!$B$19),"Yes","No")</f>
        <v>No</v>
      </c>
      <c r="I6" s="8" t="str">
        <f>IF(COUNTIF(Introduction!$A$23:$A$26,F6)&gt;0,"Yes","No")</f>
        <v>No</v>
      </c>
      <c r="J6" s="8" t="str">
        <f t="shared" si="0"/>
        <v>OK</v>
      </c>
    </row>
    <row r="7" spans="1:10" x14ac:dyDescent="0.3">
      <c r="A7" s="8" t="s">
        <v>131</v>
      </c>
      <c r="B7" s="17">
        <v>46208</v>
      </c>
      <c r="C7" s="8" t="s">
        <v>74</v>
      </c>
      <c r="D7" s="8" t="s">
        <v>132</v>
      </c>
      <c r="E7" s="16">
        <v>15000</v>
      </c>
      <c r="F7" s="8" t="s">
        <v>68</v>
      </c>
      <c r="G7" s="8" t="str">
        <f>IF(E7&gt;=Introduction!$B$19,"Yes","No")</f>
        <v>No</v>
      </c>
      <c r="H7" s="8" t="str">
        <f>IF(AND(E7&gt;=Introduction!$B$19*Introduction!$B$20,E7&lt;Introduction!$B$19),"Yes","No")</f>
        <v>No</v>
      </c>
      <c r="I7" s="8" t="str">
        <f>IF(COUNTIF(Introduction!$A$23:$A$26,F7)&gt;0,"Yes","No")</f>
        <v>No</v>
      </c>
      <c r="J7" s="8" t="str">
        <f t="shared" si="0"/>
        <v>OK</v>
      </c>
    </row>
    <row r="8" spans="1:10" x14ac:dyDescent="0.3">
      <c r="A8" s="8" t="s">
        <v>133</v>
      </c>
      <c r="B8" s="17">
        <v>46212</v>
      </c>
      <c r="C8" s="8" t="s">
        <v>99</v>
      </c>
      <c r="D8" s="8" t="s">
        <v>134</v>
      </c>
      <c r="E8" s="16">
        <v>130000</v>
      </c>
      <c r="F8" s="8" t="s">
        <v>68</v>
      </c>
      <c r="G8" s="8" t="str">
        <f>IF(E8&gt;=Introduction!$B$19,"Yes","No")</f>
        <v>No</v>
      </c>
      <c r="H8" s="8" t="str">
        <f>IF(AND(E8&gt;=Introduction!$B$19*Introduction!$B$20,E8&lt;Introduction!$B$19),"Yes","No")</f>
        <v>No</v>
      </c>
      <c r="I8" s="8" t="str">
        <f>IF(COUNTIF(Introduction!$A$23:$A$26,F8)&gt;0,"Yes","No")</f>
        <v>No</v>
      </c>
      <c r="J8" s="8" t="str">
        <f t="shared" si="0"/>
        <v>OK</v>
      </c>
    </row>
    <row r="9" spans="1:10" x14ac:dyDescent="0.3">
      <c r="A9" s="8" t="s">
        <v>135</v>
      </c>
      <c r="B9" s="17">
        <v>46213</v>
      </c>
      <c r="C9" s="8" t="s">
        <v>77</v>
      </c>
      <c r="D9" s="8" t="s">
        <v>134</v>
      </c>
      <c r="E9" s="16">
        <v>110000</v>
      </c>
      <c r="F9" s="8" t="s">
        <v>68</v>
      </c>
      <c r="G9" s="8" t="str">
        <f>IF(E9&gt;=Introduction!$B$19,"Yes","No")</f>
        <v>No</v>
      </c>
      <c r="H9" s="8" t="str">
        <f>IF(AND(E9&gt;=Introduction!$B$19*Introduction!$B$20,E9&lt;Introduction!$B$19),"Yes","No")</f>
        <v>No</v>
      </c>
      <c r="I9" s="8" t="str">
        <f>IF(COUNTIF(Introduction!$A$23:$A$26,F9)&gt;0,"Yes","No")</f>
        <v>No</v>
      </c>
      <c r="J9" s="8" t="str">
        <f t="shared" si="0"/>
        <v>OK</v>
      </c>
    </row>
    <row r="10" spans="1:10" x14ac:dyDescent="0.3">
      <c r="A10" s="8" t="s">
        <v>136</v>
      </c>
      <c r="B10" s="17">
        <v>46215</v>
      </c>
      <c r="C10" s="8" t="s">
        <v>92</v>
      </c>
      <c r="D10" s="8" t="s">
        <v>137</v>
      </c>
      <c r="E10" s="16">
        <v>380000</v>
      </c>
      <c r="F10" s="8" t="s">
        <v>94</v>
      </c>
      <c r="G10" s="8" t="str">
        <f>IF(E10&gt;=Introduction!$B$19,"Yes","No")</f>
        <v>No</v>
      </c>
      <c r="H10" s="8" t="str">
        <f>IF(AND(E10&gt;=Introduction!$B$19*Introduction!$B$20,E10&lt;Introduction!$B$19),"Yes","No")</f>
        <v>No</v>
      </c>
      <c r="I10" s="8" t="str">
        <f>IF(COUNTIF(Introduction!$A$23:$A$26,F10)&gt;0,"Yes","No")</f>
        <v>No</v>
      </c>
      <c r="J10" s="8" t="str">
        <f t="shared" si="0"/>
        <v>OK</v>
      </c>
    </row>
    <row r="11" spans="1:10" x14ac:dyDescent="0.3">
      <c r="A11" s="8" t="s">
        <v>138</v>
      </c>
      <c r="B11" s="17">
        <v>46218</v>
      </c>
      <c r="C11" s="8" t="s">
        <v>71</v>
      </c>
      <c r="D11" s="8" t="s">
        <v>137</v>
      </c>
      <c r="E11" s="16">
        <v>150000</v>
      </c>
      <c r="F11" s="8" t="s">
        <v>68</v>
      </c>
      <c r="G11" s="8" t="str">
        <f>IF(E11&gt;=Introduction!$B$19,"Yes","No")</f>
        <v>No</v>
      </c>
      <c r="H11" s="8" t="str">
        <f>IF(AND(E11&gt;=Introduction!$B$19*Introduction!$B$20,E11&lt;Introduction!$B$19),"Yes","No")</f>
        <v>No</v>
      </c>
      <c r="I11" s="8" t="str">
        <f>IF(COUNTIF(Introduction!$A$23:$A$26,F11)&gt;0,"Yes","No")</f>
        <v>No</v>
      </c>
      <c r="J11" s="8" t="str">
        <f t="shared" si="0"/>
        <v>OK</v>
      </c>
    </row>
    <row r="12" spans="1:10" x14ac:dyDescent="0.3">
      <c r="A12" s="8" t="s">
        <v>139</v>
      </c>
      <c r="B12" s="17">
        <v>46221</v>
      </c>
      <c r="C12" s="8" t="s">
        <v>95</v>
      </c>
      <c r="D12" s="8" t="s">
        <v>134</v>
      </c>
      <c r="E12" s="16">
        <v>70000</v>
      </c>
      <c r="F12" s="8" t="s">
        <v>68</v>
      </c>
      <c r="G12" s="8" t="str">
        <f>IF(E12&gt;=Introduction!$B$19,"Yes","No")</f>
        <v>No</v>
      </c>
      <c r="H12" s="8" t="str">
        <f>IF(AND(E12&gt;=Introduction!$B$19*Introduction!$B$20,E12&lt;Introduction!$B$19),"Yes","No")</f>
        <v>No</v>
      </c>
      <c r="I12" s="8" t="str">
        <f>IF(COUNTIF(Introduction!$A$23:$A$26,F12)&gt;0,"Yes","No")</f>
        <v>No</v>
      </c>
      <c r="J12" s="8" t="str">
        <f t="shared" si="0"/>
        <v>OK</v>
      </c>
    </row>
    <row r="13" spans="1:10" x14ac:dyDescent="0.3">
      <c r="A13" s="8" t="s">
        <v>140</v>
      </c>
      <c r="B13" s="17">
        <v>46223</v>
      </c>
      <c r="C13" s="8" t="s">
        <v>87</v>
      </c>
      <c r="D13" s="8" t="s">
        <v>134</v>
      </c>
      <c r="E13" s="16">
        <v>280000</v>
      </c>
      <c r="F13" s="8" t="s">
        <v>68</v>
      </c>
      <c r="G13" s="8" t="str">
        <f>IF(E13&gt;=Introduction!$B$19,"Yes","No")</f>
        <v>No</v>
      </c>
      <c r="H13" s="8" t="str">
        <f>IF(AND(E13&gt;=Introduction!$B$19*Introduction!$B$20,E13&lt;Introduction!$B$19),"Yes","No")</f>
        <v>No</v>
      </c>
      <c r="I13" s="8" t="str">
        <f>IF(COUNTIF(Introduction!$A$23:$A$26,F13)&gt;0,"Yes","No")</f>
        <v>No</v>
      </c>
      <c r="J13" s="8" t="str">
        <f t="shared" si="0"/>
        <v>OK</v>
      </c>
    </row>
    <row r="14" spans="1:10" x14ac:dyDescent="0.3">
      <c r="A14" s="8" t="s">
        <v>141</v>
      </c>
      <c r="B14" s="17">
        <v>46235</v>
      </c>
      <c r="C14" s="8" t="s">
        <v>79</v>
      </c>
      <c r="D14" s="8" t="s">
        <v>125</v>
      </c>
      <c r="E14" s="16">
        <v>210000</v>
      </c>
      <c r="F14" s="8" t="s">
        <v>81</v>
      </c>
      <c r="G14" s="8" t="str">
        <f>IF(E14&gt;=Introduction!$B$19,"Yes","No")</f>
        <v>No</v>
      </c>
      <c r="H14" s="8" t="str">
        <f>IF(AND(E14&gt;=Introduction!$B$19*Introduction!$B$20,E14&lt;Introduction!$B$19),"Yes","No")</f>
        <v>No</v>
      </c>
      <c r="I14" s="8" t="str">
        <f>IF(COUNTIF(Introduction!$A$23:$A$26,F14)&gt;0,"Yes","No")</f>
        <v>No</v>
      </c>
      <c r="J14" s="8" t="str">
        <f t="shared" si="0"/>
        <v>OK</v>
      </c>
    </row>
    <row r="15" spans="1:10" x14ac:dyDescent="0.3">
      <c r="A15" s="8" t="s">
        <v>142</v>
      </c>
      <c r="B15" s="17">
        <v>46236</v>
      </c>
      <c r="C15" s="8" t="s">
        <v>65</v>
      </c>
      <c r="D15" s="8" t="s">
        <v>125</v>
      </c>
      <c r="E15" s="16">
        <v>85000</v>
      </c>
      <c r="F15" s="8" t="s">
        <v>68</v>
      </c>
      <c r="G15" s="8" t="str">
        <f>IF(E15&gt;=Introduction!$B$19,"Yes","No")</f>
        <v>No</v>
      </c>
      <c r="H15" s="8" t="str">
        <f>IF(AND(E15&gt;=Introduction!$B$19*Introduction!$B$20,E15&lt;Introduction!$B$19),"Yes","No")</f>
        <v>No</v>
      </c>
      <c r="I15" s="8" t="str">
        <f>IF(COUNTIF(Introduction!$A$23:$A$26,F15)&gt;0,"Yes","No")</f>
        <v>No</v>
      </c>
      <c r="J15" s="8" t="str">
        <f t="shared" si="0"/>
        <v>OK</v>
      </c>
    </row>
    <row r="16" spans="1:10" x14ac:dyDescent="0.3">
      <c r="A16" s="8" t="s">
        <v>143</v>
      </c>
      <c r="B16" s="17">
        <v>46237</v>
      </c>
      <c r="C16" s="8" t="s">
        <v>82</v>
      </c>
      <c r="D16" s="8" t="s">
        <v>134</v>
      </c>
      <c r="E16" s="16">
        <v>950000</v>
      </c>
      <c r="F16" s="8" t="s">
        <v>68</v>
      </c>
      <c r="G16" s="8" t="str">
        <f>IF(E16&gt;=Introduction!$B$19,"Yes","No")</f>
        <v>No</v>
      </c>
      <c r="H16" s="8" t="str">
        <f>IF(AND(E16&gt;=Introduction!$B$19*Introduction!$B$20,E16&lt;Introduction!$B$19),"Yes","No")</f>
        <v>Yes</v>
      </c>
      <c r="I16" s="8" t="str">
        <f>IF(COUNTIF(Introduction!$A$23:$A$26,F16)&gt;0,"Yes","No")</f>
        <v>No</v>
      </c>
      <c r="J16" s="8" t="str">
        <f t="shared" si="0"/>
        <v>Review</v>
      </c>
    </row>
    <row r="17" spans="1:10" x14ac:dyDescent="0.3">
      <c r="A17" s="8" t="s">
        <v>144</v>
      </c>
      <c r="B17" s="17">
        <v>46237</v>
      </c>
      <c r="C17" s="8" t="s">
        <v>101</v>
      </c>
      <c r="D17" s="8" t="s">
        <v>125</v>
      </c>
      <c r="E17" s="16">
        <v>58000</v>
      </c>
      <c r="F17" s="8" t="s">
        <v>68</v>
      </c>
      <c r="G17" s="8" t="str">
        <f>IF(E17&gt;=Introduction!$B$19,"Yes","No")</f>
        <v>No</v>
      </c>
      <c r="H17" s="8" t="str">
        <f>IF(AND(E17&gt;=Introduction!$B$19*Introduction!$B$20,E17&lt;Introduction!$B$19),"Yes","No")</f>
        <v>No</v>
      </c>
      <c r="I17" s="8" t="str">
        <f>IF(COUNTIF(Introduction!$A$23:$A$26,F17)&gt;0,"Yes","No")</f>
        <v>No</v>
      </c>
      <c r="J17" s="8" t="str">
        <f t="shared" si="0"/>
        <v>OK</v>
      </c>
    </row>
    <row r="18" spans="1:10" x14ac:dyDescent="0.3">
      <c r="A18" s="8" t="s">
        <v>145</v>
      </c>
      <c r="B18" s="17">
        <v>46238</v>
      </c>
      <c r="C18" s="8" t="s">
        <v>69</v>
      </c>
      <c r="D18" s="8" t="s">
        <v>125</v>
      </c>
      <c r="E18" s="16">
        <v>62000</v>
      </c>
      <c r="F18" s="8" t="s">
        <v>68</v>
      </c>
      <c r="G18" s="8" t="str">
        <f>IF(E18&gt;=Introduction!$B$19,"Yes","No")</f>
        <v>No</v>
      </c>
      <c r="H18" s="8" t="str">
        <f>IF(AND(E18&gt;=Introduction!$B$19*Introduction!$B$20,E18&lt;Introduction!$B$19),"Yes","No")</f>
        <v>No</v>
      </c>
      <c r="I18" s="8" t="str">
        <f>IF(COUNTIF(Introduction!$A$23:$A$26,F18)&gt;0,"Yes","No")</f>
        <v>No</v>
      </c>
      <c r="J18" s="8" t="str">
        <f t="shared" si="0"/>
        <v>OK</v>
      </c>
    </row>
    <row r="19" spans="1:10" x14ac:dyDescent="0.3">
      <c r="A19" s="8" t="s">
        <v>146</v>
      </c>
      <c r="B19" s="17">
        <v>46239</v>
      </c>
      <c r="C19" s="8" t="s">
        <v>74</v>
      </c>
      <c r="D19" s="8" t="s">
        <v>132</v>
      </c>
      <c r="E19" s="16">
        <v>15000</v>
      </c>
      <c r="F19" s="8" t="s">
        <v>68</v>
      </c>
      <c r="G19" s="8" t="str">
        <f>IF(E19&gt;=Introduction!$B$19,"Yes","No")</f>
        <v>No</v>
      </c>
      <c r="H19" s="8" t="str">
        <f>IF(AND(E19&gt;=Introduction!$B$19*Introduction!$B$20,E19&lt;Introduction!$B$19),"Yes","No")</f>
        <v>No</v>
      </c>
      <c r="I19" s="8" t="str">
        <f>IF(COUNTIF(Introduction!$A$23:$A$26,F19)&gt;0,"Yes","No")</f>
        <v>No</v>
      </c>
      <c r="J19" s="8" t="str">
        <f t="shared" si="0"/>
        <v>OK</v>
      </c>
    </row>
    <row r="20" spans="1:10" x14ac:dyDescent="0.3">
      <c r="A20" s="8" t="s">
        <v>147</v>
      </c>
      <c r="B20" s="17">
        <v>46239</v>
      </c>
      <c r="C20" s="8" t="s">
        <v>82</v>
      </c>
      <c r="D20" s="8" t="s">
        <v>134</v>
      </c>
      <c r="E20" s="16">
        <v>980000</v>
      </c>
      <c r="F20" s="8" t="s">
        <v>68</v>
      </c>
      <c r="G20" s="8" t="str">
        <f>IF(E20&gt;=Introduction!$B$19,"Yes","No")</f>
        <v>No</v>
      </c>
      <c r="H20" s="8" t="str">
        <f>IF(AND(E20&gt;=Introduction!$B$19*Introduction!$B$20,E20&lt;Introduction!$B$19),"Yes","No")</f>
        <v>Yes</v>
      </c>
      <c r="I20" s="8" t="str">
        <f>IF(COUNTIF(Introduction!$A$23:$A$26,F20)&gt;0,"Yes","No")</f>
        <v>No</v>
      </c>
      <c r="J20" s="8" t="str">
        <f t="shared" si="0"/>
        <v>Review</v>
      </c>
    </row>
    <row r="21" spans="1:10" x14ac:dyDescent="0.3">
      <c r="A21" s="8" t="s">
        <v>148</v>
      </c>
      <c r="B21" s="17">
        <v>46240</v>
      </c>
      <c r="C21" s="8" t="s">
        <v>82</v>
      </c>
      <c r="D21" s="8" t="s">
        <v>134</v>
      </c>
      <c r="E21" s="16">
        <v>970000</v>
      </c>
      <c r="F21" s="8" t="s">
        <v>68</v>
      </c>
      <c r="G21" s="8" t="str">
        <f>IF(E21&gt;=Introduction!$B$19,"Yes","No")</f>
        <v>No</v>
      </c>
      <c r="H21" s="8" t="str">
        <f>IF(AND(E21&gt;=Introduction!$B$19*Introduction!$B$20,E21&lt;Introduction!$B$19),"Yes","No")</f>
        <v>Yes</v>
      </c>
      <c r="I21" s="8" t="str">
        <f>IF(COUNTIF(Introduction!$A$23:$A$26,F21)&gt;0,"Yes","No")</f>
        <v>No</v>
      </c>
      <c r="J21" s="8" t="str">
        <f t="shared" si="0"/>
        <v>Review</v>
      </c>
    </row>
    <row r="22" spans="1:10" x14ac:dyDescent="0.3">
      <c r="A22" s="8" t="s">
        <v>149</v>
      </c>
      <c r="B22" s="17">
        <v>46244</v>
      </c>
      <c r="C22" s="8" t="s">
        <v>82</v>
      </c>
      <c r="D22" s="8" t="s">
        <v>134</v>
      </c>
      <c r="E22" s="16">
        <v>990000</v>
      </c>
      <c r="F22" s="8" t="s">
        <v>68</v>
      </c>
      <c r="G22" s="8" t="str">
        <f>IF(E22&gt;=Introduction!$B$19,"Yes","No")</f>
        <v>No</v>
      </c>
      <c r="H22" s="8" t="str">
        <f>IF(AND(E22&gt;=Introduction!$B$19*Introduction!$B$20,E22&lt;Introduction!$B$19),"Yes","No")</f>
        <v>Yes</v>
      </c>
      <c r="I22" s="8" t="str">
        <f>IF(COUNTIF(Introduction!$A$23:$A$26,F22)&gt;0,"Yes","No")</f>
        <v>No</v>
      </c>
      <c r="J22" s="8" t="str">
        <f t="shared" si="0"/>
        <v>Review</v>
      </c>
    </row>
    <row r="23" spans="1:10" x14ac:dyDescent="0.3">
      <c r="A23" s="8" t="s">
        <v>150</v>
      </c>
      <c r="B23" s="17">
        <v>46245</v>
      </c>
      <c r="C23" s="8" t="s">
        <v>99</v>
      </c>
      <c r="D23" s="8" t="s">
        <v>134</v>
      </c>
      <c r="E23" s="16">
        <v>150000</v>
      </c>
      <c r="F23" s="8" t="s">
        <v>68</v>
      </c>
      <c r="G23" s="8" t="str">
        <f>IF(E23&gt;=Introduction!$B$19,"Yes","No")</f>
        <v>No</v>
      </c>
      <c r="H23" s="8" t="str">
        <f>IF(AND(E23&gt;=Introduction!$B$19*Introduction!$B$20,E23&lt;Introduction!$B$19),"Yes","No")</f>
        <v>No</v>
      </c>
      <c r="I23" s="8" t="str">
        <f>IF(COUNTIF(Introduction!$A$23:$A$26,F23)&gt;0,"Yes","No")</f>
        <v>No</v>
      </c>
      <c r="J23" s="8" t="str">
        <f t="shared" si="0"/>
        <v>OK</v>
      </c>
    </row>
    <row r="24" spans="1:10" x14ac:dyDescent="0.3">
      <c r="A24" s="8" t="s">
        <v>151</v>
      </c>
      <c r="B24" s="17">
        <v>46246</v>
      </c>
      <c r="C24" s="8" t="s">
        <v>77</v>
      </c>
      <c r="D24" s="8" t="s">
        <v>134</v>
      </c>
      <c r="E24" s="16">
        <v>95000</v>
      </c>
      <c r="F24" s="8" t="s">
        <v>68</v>
      </c>
      <c r="G24" s="8" t="str">
        <f>IF(E24&gt;=Introduction!$B$19,"Yes","No")</f>
        <v>No</v>
      </c>
      <c r="H24" s="8" t="str">
        <f>IF(AND(E24&gt;=Introduction!$B$19*Introduction!$B$20,E24&lt;Introduction!$B$19),"Yes","No")</f>
        <v>No</v>
      </c>
      <c r="I24" s="8" t="str">
        <f>IF(COUNTIF(Introduction!$A$23:$A$26,F24)&gt;0,"Yes","No")</f>
        <v>No</v>
      </c>
      <c r="J24" s="8" t="str">
        <f t="shared" si="0"/>
        <v>OK</v>
      </c>
    </row>
    <row r="25" spans="1:10" x14ac:dyDescent="0.3">
      <c r="A25" s="8" t="s">
        <v>152</v>
      </c>
      <c r="B25" s="17">
        <v>46246</v>
      </c>
      <c r="C25" s="8" t="s">
        <v>97</v>
      </c>
      <c r="D25" s="8" t="s">
        <v>137</v>
      </c>
      <c r="E25" s="16">
        <v>600000</v>
      </c>
      <c r="F25" s="8" t="s">
        <v>34</v>
      </c>
      <c r="G25" s="8" t="str">
        <f>IF(E25&gt;=Introduction!$B$19,"Yes","No")</f>
        <v>No</v>
      </c>
      <c r="H25" s="8" t="str">
        <f>IF(AND(E25&gt;=Introduction!$B$19*Introduction!$B$20,E25&lt;Introduction!$B$19),"Yes","No")</f>
        <v>No</v>
      </c>
      <c r="I25" s="8" t="str">
        <f>IF(COUNTIF(Introduction!$A$23:$A$26,F25)&gt;0,"Yes","No")</f>
        <v>Yes</v>
      </c>
      <c r="J25" s="8" t="str">
        <f t="shared" si="0"/>
        <v>Review</v>
      </c>
    </row>
    <row r="26" spans="1:10" x14ac:dyDescent="0.3">
      <c r="A26" s="8" t="s">
        <v>153</v>
      </c>
      <c r="B26" s="17">
        <v>46248</v>
      </c>
      <c r="C26" s="8" t="s">
        <v>92</v>
      </c>
      <c r="D26" s="8" t="s">
        <v>137</v>
      </c>
      <c r="E26" s="16">
        <v>410000</v>
      </c>
      <c r="F26" s="8" t="s">
        <v>94</v>
      </c>
      <c r="G26" s="8" t="str">
        <f>IF(E26&gt;=Introduction!$B$19,"Yes","No")</f>
        <v>No</v>
      </c>
      <c r="H26" s="8" t="str">
        <f>IF(AND(E26&gt;=Introduction!$B$19*Introduction!$B$20,E26&lt;Introduction!$B$19),"Yes","No")</f>
        <v>No</v>
      </c>
      <c r="I26" s="8" t="str">
        <f>IF(COUNTIF(Introduction!$A$23:$A$26,F26)&gt;0,"Yes","No")</f>
        <v>No</v>
      </c>
      <c r="J26" s="8" t="str">
        <f t="shared" si="0"/>
        <v>OK</v>
      </c>
    </row>
    <row r="27" spans="1:10" x14ac:dyDescent="0.3">
      <c r="A27" s="8" t="s">
        <v>154</v>
      </c>
      <c r="B27" s="17">
        <v>46252</v>
      </c>
      <c r="C27" s="8" t="s">
        <v>71</v>
      </c>
      <c r="D27" s="8" t="s">
        <v>137</v>
      </c>
      <c r="E27" s="16">
        <v>145000</v>
      </c>
      <c r="F27" s="8" t="s">
        <v>68</v>
      </c>
      <c r="G27" s="8" t="str">
        <f>IF(E27&gt;=Introduction!$B$19,"Yes","No")</f>
        <v>No</v>
      </c>
      <c r="H27" s="8" t="str">
        <f>IF(AND(E27&gt;=Introduction!$B$19*Introduction!$B$20,E27&lt;Introduction!$B$19),"Yes","No")</f>
        <v>No</v>
      </c>
      <c r="I27" s="8" t="str">
        <f>IF(COUNTIF(Introduction!$A$23:$A$26,F27)&gt;0,"Yes","No")</f>
        <v>No</v>
      </c>
      <c r="J27" s="8" t="str">
        <f t="shared" si="0"/>
        <v>OK</v>
      </c>
    </row>
    <row r="28" spans="1:10" x14ac:dyDescent="0.3">
      <c r="A28" s="8" t="s">
        <v>155</v>
      </c>
      <c r="B28" s="17">
        <v>46254</v>
      </c>
      <c r="C28" s="8" t="s">
        <v>95</v>
      </c>
      <c r="D28" s="8" t="s">
        <v>134</v>
      </c>
      <c r="E28" s="16">
        <v>85000</v>
      </c>
      <c r="F28" s="8" t="s">
        <v>68</v>
      </c>
      <c r="G28" s="8" t="str">
        <f>IF(E28&gt;=Introduction!$B$19,"Yes","No")</f>
        <v>No</v>
      </c>
      <c r="H28" s="8" t="str">
        <f>IF(AND(E28&gt;=Introduction!$B$19*Introduction!$B$20,E28&lt;Introduction!$B$19),"Yes","No")</f>
        <v>No</v>
      </c>
      <c r="I28" s="8" t="str">
        <f>IF(COUNTIF(Introduction!$A$23:$A$26,F28)&gt;0,"Yes","No")</f>
        <v>No</v>
      </c>
      <c r="J28" s="8" t="str">
        <f t="shared" si="0"/>
        <v>OK</v>
      </c>
    </row>
    <row r="29" spans="1:10" x14ac:dyDescent="0.3">
      <c r="A29" s="8" t="s">
        <v>156</v>
      </c>
      <c r="B29" s="17">
        <v>46259</v>
      </c>
      <c r="C29" s="8" t="s">
        <v>87</v>
      </c>
      <c r="D29" s="8" t="s">
        <v>134</v>
      </c>
      <c r="E29" s="16">
        <v>310000</v>
      </c>
      <c r="F29" s="8" t="s">
        <v>68</v>
      </c>
      <c r="G29" s="8" t="str">
        <f>IF(E29&gt;=Introduction!$B$19,"Yes","No")</f>
        <v>No</v>
      </c>
      <c r="H29" s="8" t="str">
        <f>IF(AND(E29&gt;=Introduction!$B$19*Introduction!$B$20,E29&lt;Introduction!$B$19),"Yes","No")</f>
        <v>No</v>
      </c>
      <c r="I29" s="8" t="str">
        <f>IF(COUNTIF(Introduction!$A$23:$A$26,F29)&gt;0,"Yes","No")</f>
        <v>No</v>
      </c>
      <c r="J29" s="8" t="str">
        <f t="shared" si="0"/>
        <v>OK</v>
      </c>
    </row>
    <row r="30" spans="1:10" x14ac:dyDescent="0.3">
      <c r="A30" s="8" t="s">
        <v>157</v>
      </c>
      <c r="B30" s="17">
        <v>46260</v>
      </c>
      <c r="C30" s="8" t="s">
        <v>74</v>
      </c>
      <c r="D30" s="8" t="s">
        <v>137</v>
      </c>
      <c r="E30" s="16">
        <v>1150000</v>
      </c>
      <c r="F30" s="8" t="s">
        <v>158</v>
      </c>
      <c r="G30" s="8" t="str">
        <f>IF(E30&gt;=Introduction!$B$19,"Yes","No")</f>
        <v>Yes</v>
      </c>
      <c r="H30" s="8" t="str">
        <f>IF(AND(E30&gt;=Introduction!$B$19*Introduction!$B$20,E30&lt;Introduction!$B$19),"Yes","No")</f>
        <v>No</v>
      </c>
      <c r="I30" s="8" t="str">
        <f>IF(COUNTIF(Introduction!$A$23:$A$26,F30)&gt;0,"Yes","No")</f>
        <v>No</v>
      </c>
      <c r="J30" s="8" t="str">
        <f t="shared" si="0"/>
        <v>Review</v>
      </c>
    </row>
    <row r="31" spans="1:10" x14ac:dyDescent="0.3">
      <c r="A31" s="8" t="s">
        <v>159</v>
      </c>
      <c r="B31" s="17">
        <v>46266</v>
      </c>
      <c r="C31" s="8" t="s">
        <v>79</v>
      </c>
      <c r="D31" s="8" t="s">
        <v>125</v>
      </c>
      <c r="E31" s="16">
        <v>210000</v>
      </c>
      <c r="F31" s="8" t="s">
        <v>81</v>
      </c>
      <c r="G31" s="8" t="str">
        <f>IF(E31&gt;=Introduction!$B$19,"Yes","No")</f>
        <v>No</v>
      </c>
      <c r="H31" s="8" t="str">
        <f>IF(AND(E31&gt;=Introduction!$B$19*Introduction!$B$20,E31&lt;Introduction!$B$19),"Yes","No")</f>
        <v>No</v>
      </c>
      <c r="I31" s="8" t="str">
        <f>IF(COUNTIF(Introduction!$A$23:$A$26,F31)&gt;0,"Yes","No")</f>
        <v>No</v>
      </c>
      <c r="J31" s="8" t="str">
        <f t="shared" si="0"/>
        <v>OK</v>
      </c>
    </row>
    <row r="32" spans="1:10" x14ac:dyDescent="0.3">
      <c r="A32" s="8" t="s">
        <v>160</v>
      </c>
      <c r="B32" s="17">
        <v>46267</v>
      </c>
      <c r="C32" s="8" t="s">
        <v>65</v>
      </c>
      <c r="D32" s="8" t="s">
        <v>125</v>
      </c>
      <c r="E32" s="16">
        <v>85000</v>
      </c>
      <c r="F32" s="8" t="s">
        <v>68</v>
      </c>
      <c r="G32" s="8" t="str">
        <f>IF(E32&gt;=Introduction!$B$19,"Yes","No")</f>
        <v>No</v>
      </c>
      <c r="H32" s="8" t="str">
        <f>IF(AND(E32&gt;=Introduction!$B$19*Introduction!$B$20,E32&lt;Introduction!$B$19),"Yes","No")</f>
        <v>No</v>
      </c>
      <c r="I32" s="8" t="str">
        <f>IF(COUNTIF(Introduction!$A$23:$A$26,F32)&gt;0,"Yes","No")</f>
        <v>No</v>
      </c>
      <c r="J32" s="8" t="str">
        <f t="shared" si="0"/>
        <v>OK</v>
      </c>
    </row>
    <row r="33" spans="1:10" x14ac:dyDescent="0.3">
      <c r="A33" s="8" t="s">
        <v>161</v>
      </c>
      <c r="B33" s="17">
        <v>46267</v>
      </c>
      <c r="C33" s="8" t="s">
        <v>101</v>
      </c>
      <c r="D33" s="8" t="s">
        <v>125</v>
      </c>
      <c r="E33" s="16">
        <v>58000</v>
      </c>
      <c r="F33" s="8" t="s">
        <v>68</v>
      </c>
      <c r="G33" s="8" t="str">
        <f>IF(E33&gt;=Introduction!$B$19,"Yes","No")</f>
        <v>No</v>
      </c>
      <c r="H33" s="8" t="str">
        <f>IF(AND(E33&gt;=Introduction!$B$19*Introduction!$B$20,E33&lt;Introduction!$B$19),"Yes","No")</f>
        <v>No</v>
      </c>
      <c r="I33" s="8" t="str">
        <f>IF(COUNTIF(Introduction!$A$23:$A$26,F33)&gt;0,"Yes","No")</f>
        <v>No</v>
      </c>
      <c r="J33" s="8" t="str">
        <f t="shared" si="0"/>
        <v>OK</v>
      </c>
    </row>
    <row r="34" spans="1:10" x14ac:dyDescent="0.3">
      <c r="A34" s="8" t="s">
        <v>162</v>
      </c>
      <c r="B34" s="17">
        <v>46268</v>
      </c>
      <c r="C34" s="8" t="s">
        <v>69</v>
      </c>
      <c r="D34" s="8" t="s">
        <v>125</v>
      </c>
      <c r="E34" s="16">
        <v>62000</v>
      </c>
      <c r="F34" s="8" t="s">
        <v>68</v>
      </c>
      <c r="G34" s="8" t="str">
        <f>IF(E34&gt;=Introduction!$B$19,"Yes","No")</f>
        <v>No</v>
      </c>
      <c r="H34" s="8" t="str">
        <f>IF(AND(E34&gt;=Introduction!$B$19*Introduction!$B$20,E34&lt;Introduction!$B$19),"Yes","No")</f>
        <v>No</v>
      </c>
      <c r="I34" s="8" t="str">
        <f>IF(COUNTIF(Introduction!$A$23:$A$26,F34)&gt;0,"Yes","No")</f>
        <v>No</v>
      </c>
      <c r="J34" s="8" t="str">
        <f t="shared" si="0"/>
        <v>OK</v>
      </c>
    </row>
    <row r="35" spans="1:10" x14ac:dyDescent="0.3">
      <c r="A35" s="8" t="s">
        <v>163</v>
      </c>
      <c r="B35" s="17">
        <v>46268</v>
      </c>
      <c r="C35" s="8" t="s">
        <v>97</v>
      </c>
      <c r="D35" s="8" t="s">
        <v>137</v>
      </c>
      <c r="E35" s="16">
        <v>1200000</v>
      </c>
      <c r="F35" s="8" t="s">
        <v>31</v>
      </c>
      <c r="G35" s="8" t="str">
        <f>IF(E35&gt;=Introduction!$B$19,"Yes","No")</f>
        <v>Yes</v>
      </c>
      <c r="H35" s="8" t="str">
        <f>IF(AND(E35&gt;=Introduction!$B$19*Introduction!$B$20,E35&lt;Introduction!$B$19),"Yes","No")</f>
        <v>No</v>
      </c>
      <c r="I35" s="8" t="str">
        <f>IF(COUNTIF(Introduction!$A$23:$A$26,F35)&gt;0,"Yes","No")</f>
        <v>Yes</v>
      </c>
      <c r="J35" s="8" t="str">
        <f t="shared" si="0"/>
        <v>Review</v>
      </c>
    </row>
    <row r="36" spans="1:10" x14ac:dyDescent="0.3">
      <c r="A36" s="8" t="s">
        <v>164</v>
      </c>
      <c r="B36" s="17">
        <v>46270</v>
      </c>
      <c r="C36" s="8" t="s">
        <v>74</v>
      </c>
      <c r="D36" s="8" t="s">
        <v>132</v>
      </c>
      <c r="E36" s="16">
        <v>15000</v>
      </c>
      <c r="F36" s="8" t="s">
        <v>68</v>
      </c>
      <c r="G36" s="8" t="str">
        <f>IF(E36&gt;=Introduction!$B$19,"Yes","No")</f>
        <v>No</v>
      </c>
      <c r="H36" s="8" t="str">
        <f>IF(AND(E36&gt;=Introduction!$B$19*Introduction!$B$20,E36&lt;Introduction!$B$19),"Yes","No")</f>
        <v>No</v>
      </c>
      <c r="I36" s="8" t="str">
        <f>IF(COUNTIF(Introduction!$A$23:$A$26,F36)&gt;0,"Yes","No")</f>
        <v>No</v>
      </c>
      <c r="J36" s="8" t="str">
        <f t="shared" si="0"/>
        <v>OK</v>
      </c>
    </row>
    <row r="37" spans="1:10" x14ac:dyDescent="0.3">
      <c r="A37" s="8" t="s">
        <v>165</v>
      </c>
      <c r="B37" s="17">
        <v>46273</v>
      </c>
      <c r="C37" s="8" t="s">
        <v>87</v>
      </c>
      <c r="D37" s="8" t="s">
        <v>134</v>
      </c>
      <c r="E37" s="16">
        <v>920000</v>
      </c>
      <c r="F37" s="8" t="s">
        <v>68</v>
      </c>
      <c r="G37" s="8" t="str">
        <f>IF(E37&gt;=Introduction!$B$19,"Yes","No")</f>
        <v>No</v>
      </c>
      <c r="H37" s="8" t="str">
        <f>IF(AND(E37&gt;=Introduction!$B$19*Introduction!$B$20,E37&lt;Introduction!$B$19),"Yes","No")</f>
        <v>Yes</v>
      </c>
      <c r="I37" s="8" t="str">
        <f>IF(COUNTIF(Introduction!$A$23:$A$26,F37)&gt;0,"Yes","No")</f>
        <v>No</v>
      </c>
      <c r="J37" s="8" t="str">
        <f t="shared" si="0"/>
        <v>Review</v>
      </c>
    </row>
    <row r="38" spans="1:10" x14ac:dyDescent="0.3">
      <c r="A38" s="8" t="s">
        <v>166</v>
      </c>
      <c r="B38" s="17">
        <v>46279</v>
      </c>
      <c r="C38" s="8" t="s">
        <v>77</v>
      </c>
      <c r="D38" s="8" t="s">
        <v>134</v>
      </c>
      <c r="E38" s="16">
        <v>130000</v>
      </c>
      <c r="F38" s="8" t="s">
        <v>68</v>
      </c>
      <c r="G38" s="8" t="str">
        <f>IF(E38&gt;=Introduction!$B$19,"Yes","No")</f>
        <v>No</v>
      </c>
      <c r="H38" s="8" t="str">
        <f>IF(AND(E38&gt;=Introduction!$B$19*Introduction!$B$20,E38&lt;Introduction!$B$19),"Yes","No")</f>
        <v>No</v>
      </c>
      <c r="I38" s="8" t="str">
        <f>IF(COUNTIF(Introduction!$A$23:$A$26,F38)&gt;0,"Yes","No")</f>
        <v>No</v>
      </c>
      <c r="J38" s="8" t="str">
        <f t="shared" si="0"/>
        <v>OK</v>
      </c>
    </row>
    <row r="39" spans="1:10" x14ac:dyDescent="0.3">
      <c r="A39" s="8" t="s">
        <v>167</v>
      </c>
      <c r="B39" s="17">
        <v>46279</v>
      </c>
      <c r="C39" s="8" t="s">
        <v>82</v>
      </c>
      <c r="D39" s="8" t="s">
        <v>137</v>
      </c>
      <c r="E39" s="16">
        <v>1500000</v>
      </c>
      <c r="F39" s="8" t="s">
        <v>168</v>
      </c>
      <c r="G39" s="8" t="str">
        <f>IF(E39&gt;=Introduction!$B$19,"Yes","No")</f>
        <v>Yes</v>
      </c>
      <c r="H39" s="8" t="str">
        <f>IF(AND(E39&gt;=Introduction!$B$19*Introduction!$B$20,E39&lt;Introduction!$B$19),"Yes","No")</f>
        <v>No</v>
      </c>
      <c r="I39" s="8" t="str">
        <f>IF(COUNTIF(Introduction!$A$23:$A$26,F39)&gt;0,"Yes","No")</f>
        <v>No</v>
      </c>
      <c r="J39" s="8" t="str">
        <f t="shared" si="0"/>
        <v>Review</v>
      </c>
    </row>
    <row r="40" spans="1:10" x14ac:dyDescent="0.3">
      <c r="A40" s="8" t="s">
        <v>169</v>
      </c>
      <c r="B40" s="17">
        <v>46281</v>
      </c>
      <c r="C40" s="8" t="s">
        <v>71</v>
      </c>
      <c r="D40" s="8" t="s">
        <v>137</v>
      </c>
      <c r="E40" s="16">
        <v>155000</v>
      </c>
      <c r="F40" s="8" t="s">
        <v>68</v>
      </c>
      <c r="G40" s="8" t="str">
        <f>IF(E40&gt;=Introduction!$B$19,"Yes","No")</f>
        <v>No</v>
      </c>
      <c r="H40" s="8" t="str">
        <f>IF(AND(E40&gt;=Introduction!$B$19*Introduction!$B$20,E40&lt;Introduction!$B$19),"Yes","No")</f>
        <v>No</v>
      </c>
      <c r="I40" s="8" t="str">
        <f>IF(COUNTIF(Introduction!$A$23:$A$26,F40)&gt;0,"Yes","No")</f>
        <v>No</v>
      </c>
      <c r="J40" s="8" t="str">
        <f t="shared" si="0"/>
        <v>OK</v>
      </c>
    </row>
  </sheetData>
  <autoFilter ref="A1:J40" xr:uid="{00000000-0009-0000-0000-000003000000}"/>
  <conditionalFormatting sqref="G2:I40">
    <cfRule type="cellIs" dxfId="2" priority="2" operator="equal">
      <formula>"Yes"</formula>
    </cfRule>
  </conditionalFormatting>
  <conditionalFormatting sqref="J2:J40">
    <cfRule type="cellIs" dxfId="1" priority="3" operator="equal">
      <formula>"Review"</formula>
    </cfRule>
    <cfRule type="cellIs" dxfId="0" priority="4" operator="equal">
      <formula>"OK"</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Client_Data</vt:lpstr>
      <vt:lpstr>KYC</vt:lpstr>
      <vt:lpstr>Transactions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Ram Vishwakarma</cp:lastModifiedBy>
  <cp:revision>0</cp:revision>
  <dcterms:created xsi:type="dcterms:W3CDTF">2026-10-04T00:06:30Z</dcterms:created>
  <dcterms:modified xsi:type="dcterms:W3CDTF">2026-10-04T00:20:35Z</dcterms:modified>
  <dc:language>en-US</dc:language>
</cp:coreProperties>
</file>